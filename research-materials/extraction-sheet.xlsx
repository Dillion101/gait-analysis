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C:\Users\Amartey Dillion\Videos\Deliverables\Extraction Sheet\"/>
    </mc:Choice>
  </mc:AlternateContent>
  <xr:revisionPtr revIDLastSave="0" documentId="13_ncr:1_{12AF23A3-69A2-474C-9FBB-D87FECF159CD}" xr6:coauthVersionLast="47" xr6:coauthVersionMax="47" xr10:uidLastSave="{00000000-0000-0000-0000-000000000000}"/>
  <bookViews>
    <workbookView xWindow="-120" yWindow="-120" windowWidth="24240" windowHeight="13740" firstSheet="3" activeTab="6" xr2:uid="{9511196B-658B-40E8-81A9-8866CD50C5A5}"/>
  </bookViews>
  <sheets>
    <sheet name="Research " sheetId="1" r:id="rId1"/>
    <sheet name="Strengths Data" sheetId="14" r:id="rId2"/>
    <sheet name="Weakness Data" sheetId="15" r:id="rId3"/>
    <sheet name="Final Silhouette Techniques" sheetId="10" r:id="rId4"/>
    <sheet name="Strengths and Weakness" sheetId="11" r:id="rId5"/>
    <sheet name="Search Parameters" sheetId="5" r:id="rId6"/>
    <sheet name="Research Objective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5" l="1"/>
  <c r="E3" i="5"/>
  <c r="E7" i="5" s="1"/>
  <c r="E4" i="5"/>
  <c r="D4" i="5"/>
  <c r="C4" i="5"/>
  <c r="B4" i="5"/>
  <c r="A4" i="5"/>
  <c r="C3" i="5"/>
  <c r="B3" i="5"/>
  <c r="E2" i="5"/>
  <c r="D2" i="5"/>
  <c r="C2" i="5"/>
  <c r="C7" i="5" s="1"/>
  <c r="B2" i="5"/>
  <c r="D7" i="5" l="1"/>
  <c r="B7" i="5"/>
</calcChain>
</file>

<file path=xl/sharedStrings.xml><?xml version="1.0" encoding="utf-8"?>
<sst xmlns="http://schemas.openxmlformats.org/spreadsheetml/2006/main" count="700" uniqueCount="533">
  <si>
    <t xml:space="preserve">ARTICLE REFERENCE </t>
  </si>
  <si>
    <t>TITLE</t>
  </si>
  <si>
    <t xml:space="preserve">OBJECTIVE </t>
  </si>
  <si>
    <t xml:space="preserve">GAIT SILHOUETTE REPRESENTATION </t>
  </si>
  <si>
    <t>PUBLICATION YEAR</t>
  </si>
  <si>
    <t>NAME OF JOURNAL</t>
  </si>
  <si>
    <t>Gait Entropy Image (GEnI)</t>
  </si>
  <si>
    <t>DATABASE</t>
  </si>
  <si>
    <t>INITIAL SEARCH</t>
  </si>
  <si>
    <t>REVIEW PROTOCOL FILTER</t>
  </si>
  <si>
    <t>ABSTRACT FILTER</t>
  </si>
  <si>
    <t>FINAL ARTICLES</t>
  </si>
  <si>
    <t>SCIENCEDIRECT</t>
  </si>
  <si>
    <t>IEEExplore</t>
  </si>
  <si>
    <t>TOTAL</t>
  </si>
  <si>
    <t>Springer Link</t>
  </si>
  <si>
    <t>Pose Energy Image (PEI)</t>
  </si>
  <si>
    <t>Gait Energy Image (GEI)</t>
  </si>
  <si>
    <t>1D Convolution approach to human activity recognition using sensor data
and comparison with machine learning algorithms</t>
  </si>
  <si>
    <t>(K et al., 2021)</t>
  </si>
  <si>
    <t>Develop a model for human activity recognition using smartphone sensor data.</t>
  </si>
  <si>
    <t>Human Activity Recognition (HAR)</t>
  </si>
  <si>
    <t>International Journal of Cognitive Computing in Engineering</t>
  </si>
  <si>
    <t>Comparative Study of Pose Representation and Dynamics Modeling for Online Motion Quality Assessment</t>
  </si>
  <si>
    <t>(Tao et al., 2016)</t>
  </si>
  <si>
    <t>The objective is to evaluate online motion quality assessment methods using different pose representations and dynamics models.</t>
  </si>
  <si>
    <t>RGB-D</t>
  </si>
  <si>
    <t>Computer Vision and Image Understanding</t>
  </si>
  <si>
    <t>Histogram of Graph Nodes (HGN)</t>
  </si>
  <si>
    <t>Introducing wrestling action recognition as a new computer vision application</t>
  </si>
  <si>
    <t>Engineering Science And Technology</t>
  </si>
  <si>
    <t>(Mottaghi et al., 2020)</t>
  </si>
  <si>
    <t>(Park et al., 2016)</t>
  </si>
  <si>
    <t>A Depth Camera-based Human Activity Recognition via Deep Learning Recurrent Neural Network</t>
  </si>
  <si>
    <t>The objective is to propose a new HAR system via Recurrent Neural Network (RNN) for health and social care services.</t>
  </si>
  <si>
    <t xml:space="preserve">Depth Human Silhouettes </t>
  </si>
  <si>
    <t>Procedia Computer Science</t>
  </si>
  <si>
    <t>(Zamri et al., 2022)</t>
  </si>
  <si>
    <t>An assessment of water pollutions area in Terengganu River</t>
  </si>
  <si>
    <t>To cluster water polluted areas in Terengganu River using autoencoder and self-organizing map (SOM) unsupervised machine learning algorithms</t>
  </si>
  <si>
    <t>Self-Organizing Map (SOM)</t>
  </si>
  <si>
    <t>A vision-based proposal for classification of normal and abnormal gait using model-based and shape-based approaches</t>
  </si>
  <si>
    <t>The objective of the paper is to put forward novel methods and algorithms to efficiently distinguish normal and abnormal gaits through gait classification using different mathematical models and shape-based techniques.</t>
  </si>
  <si>
    <t>Journal of Biomedical Science and Engineering</t>
  </si>
  <si>
    <t>(Nieto-Hidalgo et al., 2016)</t>
  </si>
  <si>
    <t>(Frikha et al., 2021)</t>
  </si>
  <si>
    <t xml:space="preserve"> A Novel Bi-Model Person Re-identification Method based on the Appearance and the Gait Features</t>
  </si>
  <si>
    <t>Developing a new person re-identification method that integrates silhouette and gait features to improve identification accuracy even in the presence of various occlusions, viewpoints, and clothing changes.</t>
  </si>
  <si>
    <t>mGait</t>
  </si>
  <si>
    <t>consists of a multi-channel binary image (MBI) to represent each gait sequence.</t>
  </si>
  <si>
    <t>(González et al., 2016)</t>
  </si>
  <si>
    <t>Comparison between passive vision-based system and a wearable
inertial-based system for estimating temporal gait parameters related to
the GAITRite electronic walkway</t>
  </si>
  <si>
    <t>To compare the accuracy and usability of a wearable system and a passive vision-based system for gait analysis</t>
  </si>
  <si>
    <t>Journal of Biomedical Informatics</t>
  </si>
  <si>
    <t>(Ali et al., 2018)</t>
  </si>
  <si>
    <t>Depth-based human activity recognition: A comparative perspective study
on feature extraction</t>
  </si>
  <si>
    <t>To compare the performance of gait silhouette and depth-based representations for human activity recognition using depth cameras.</t>
  </si>
  <si>
    <t>Depth Human Silhouettes &amp; Binary Silhouettes</t>
  </si>
  <si>
    <t>Future Computing and Informatics Journal</t>
  </si>
  <si>
    <t>(Vatsavayi &amp; Kondaveeti, 2018)</t>
  </si>
  <si>
    <t>Efficient ISAR image classification using MECSM representation</t>
  </si>
  <si>
    <t>Efficient ISAR Image Classification Using Modified Efficient Convolution and Simplex Mesh Representation</t>
  </si>
  <si>
    <t>Minimum Enclosed Circle based Shape Matrix (MECSM)</t>
  </si>
  <si>
    <t xml:space="preserve">Journal of King Saud University </t>
  </si>
  <si>
    <t>(Beddiar et al., 2022)</t>
  </si>
  <si>
    <t>Fall detection using body geometry and human pose estimation in video
sequences</t>
  </si>
  <si>
    <t>The objective of the research is to propose a new method for fall detection based on gait silhouettes computed from video surveillance systems</t>
  </si>
  <si>
    <t>Hu-moments technique</t>
  </si>
  <si>
    <t>Journal of Visual Communication and Image Representation</t>
  </si>
  <si>
    <t>Hu-moments can be calculated on the silhouette image of a person walking.
Since Hu-moments are translation, scale, and rotation invariant, they can capture some aspects of the overall leg and body shape in the silhouette, which contribute to gait patterns.</t>
  </si>
  <si>
    <t>(More &amp; Deore, 2020)</t>
  </si>
  <si>
    <t>Journal of King Saud University</t>
  </si>
  <si>
    <t>To propose a gait-based recognition approach using parametric combinations of body parts and to evaluate the performance of the proposed method.</t>
  </si>
  <si>
    <t>Partial Wavelet Coherence (PWC)</t>
  </si>
  <si>
    <t>The objective of the paper  is to propose a robust method for gait recognition against various carried objects by reconstructing a gait template without them.</t>
  </si>
  <si>
    <t>Gait recognition invariant to carried objects using alpha blending generative adversarial networks</t>
  </si>
  <si>
    <t>Alpha Blending</t>
  </si>
  <si>
    <t>(X. Li et al., 2020)</t>
  </si>
  <si>
    <t>Pattern Recognition</t>
  </si>
  <si>
    <t>(Sivolobov, 2021)</t>
  </si>
  <si>
    <t>Human gait feature extraction method</t>
  </si>
  <si>
    <t>Proposing a new method for human gait feature extraction from a video and testing it on gait samples for recognition accuracy</t>
  </si>
  <si>
    <t xml:space="preserve">Custom Shadow Detection from MOG2 and KNN </t>
  </si>
  <si>
    <t>(Vishwakarma et al., 2015)</t>
  </si>
  <si>
    <t>Human Motion Analysis by Fusion of Silhouette Orientation and Shape Features</t>
  </si>
  <si>
    <t>To develop a simple and competent approach for Human Activity Recognition based on the hypothesis that every action/activity has some kind of rotation information with translation</t>
  </si>
  <si>
    <t>Average Energy Silhouette Images</t>
  </si>
  <si>
    <t>(Arora et al., 2015)</t>
  </si>
  <si>
    <t>Gradient Histogram Gaussian Image</t>
  </si>
  <si>
    <t>Improved Gait Recognition using Gradient Histogram Gaussian
Image</t>
  </si>
  <si>
    <t>The objective of the paper is to propose a new Silhouette Feature Representation approach for gait recognition</t>
  </si>
  <si>
    <t>(Elrefaei &amp; Al-Mohammadi, 2022)</t>
  </si>
  <si>
    <t>Machine vision gait-based biometric cryptosystem using a fuzzy
commitment scheme</t>
  </si>
  <si>
    <t>This paper provides a comprehensive review of gait-based biometric cryptosystem using machine vision.</t>
  </si>
  <si>
    <t>Local Ternary Pattern (LTP)</t>
  </si>
  <si>
    <t>(GoSciewska &amp; Frejlichowski, 2020)</t>
  </si>
  <si>
    <t>Recognizing human actions with multiple Fourier transforms</t>
  </si>
  <si>
    <t>The objective of the research is Action recognition using various applications of Fourier transform and shape descriptors.</t>
  </si>
  <si>
    <t>Two-Dimensional Fourier Descriptor, Generic Fourier Descriptor, UNL-Fourier Descriptor.</t>
  </si>
  <si>
    <t>(El-Alfy &amp; Binsaadoon, 2017)</t>
  </si>
  <si>
    <t>Silhouette-Based Gender Recognition in Smart Environments Using Fuzzy Local Binary Patterns and Support Vector Machines</t>
  </si>
  <si>
    <t>Gender recognition at a distance based on visual texture analysis of gait energy images</t>
  </si>
  <si>
    <t>Fuzzy Local Binary Pattern (FLBP)</t>
  </si>
  <si>
    <t>Fuzzy Local Binary Patterns (FLBP) analyze image textures by dividing the image into regions, comparing pixel intensities with fuzzy logic, and generating histograms with fuzzy membership values.</t>
  </si>
  <si>
    <t>(Youssef et al., 2023)</t>
  </si>
  <si>
    <t>A Virtual Coaching System Based on Visual and Thermal Sensor Fusion for Multiple Exercise Recognition and Feedback Provision</t>
  </si>
  <si>
    <t>To introduce a virtual coaching system based on visual and thermal sensor fusion for exercise recognition and assessment, along with providing feedback to users about their exercise performance.</t>
  </si>
  <si>
    <t>Gait Energy Image (GEI) &amp; pose estimation using OpenPose</t>
  </si>
  <si>
    <t>(Prakash et al., 2018)</t>
  </si>
  <si>
    <t>Vision based Identification of Joint Coordinates for Marker-less Gait Analysis</t>
  </si>
  <si>
    <t>To propose a new approach for identifying human joints for gait analysis in a markerless environment and to determine coordinates of six joints (shoulder, hip, left knee, right knee, left ankle, and right ankle) to obtain the joint trajectory for gait-related pathology diagnosis.</t>
  </si>
  <si>
    <t>Vision-based Identification of Joint Coordinates</t>
  </si>
  <si>
    <t>Visualising and quantifying relevant parkinsonian gait patterns using 3D convolutional network</t>
  </si>
  <si>
    <t>Automatic Parkinson's Disease classification by identifying spatio-temporal patterns associated with abnormal gait motions</t>
  </si>
  <si>
    <t>Markerless video sequences</t>
  </si>
  <si>
    <t>(Guayacán &amp; Martínez, 2021)</t>
  </si>
  <si>
    <t>(Chtourou et al., 2018)</t>
  </si>
  <si>
    <t>Walking Direction Estimation for Gait Based Applications</t>
  </si>
  <si>
    <t>To deal with the problem related to walking direction estimation in unconstrained environments and propose a solution which is suitable for both real-time application and unconstrained environment.</t>
  </si>
  <si>
    <t>(Hirose et al., 2022)</t>
  </si>
  <si>
    <t>Anonymization of Human Gait in Video Based on Silhouette Deformation and Texture Transfer</t>
  </si>
  <si>
    <t>Anonymize human walking pattern such that the person cannot be identified by the gait pattern.</t>
  </si>
  <si>
    <t>IEEE Transactions on Information Forensics and Security</t>
  </si>
  <si>
    <t>Gait Silhouette Deformation</t>
  </si>
  <si>
    <t>(Aljazaerly et al., 2023)</t>
  </si>
  <si>
    <t>Batch Hard Contrastive Loss and Its Application to Cross-View Gait Recognition</t>
  </si>
  <si>
    <t>The objective is to propose a batch hard contrastive loss function for gait recognition.</t>
  </si>
  <si>
    <t>IEEE Access</t>
  </si>
  <si>
    <t>Cross-View Gait Recognition Model Combining Multi-Scale Feature Residual Structure and Self-Attention Mechanism</t>
  </si>
  <si>
    <t>Improving the accuracy of gait recognition under cross-view conditions</t>
  </si>
  <si>
    <t>(Awai et al., 2023)</t>
  </si>
  <si>
    <t>Effective Fusion Method on Silhouette and Pose for Gait Recognition</t>
  </si>
  <si>
    <t>To propose a fusion method to combine silhouette and pose features for gait recognition with better accuracy and robustness</t>
  </si>
  <si>
    <t>GaitGraph</t>
  </si>
  <si>
    <t>Encoding Kinematic and Temporal Gait Data in an Appearance-Based Feature for the Automatic Classification of Autism Spectrum Disorder.</t>
  </si>
  <si>
    <t>The objective is to improve the early screening of Autism Spectrum Disorder (ASD) by adapting Gait Energy Images (GEI) to focus on the strong ASD features, enabling the use of powerful appearance-based classifiers such as Convolutional Neural Networks (CNN).</t>
  </si>
  <si>
    <t>Joint Energy Image (JEI)</t>
  </si>
  <si>
    <t>(Henderson et al., 2023)</t>
  </si>
  <si>
    <t>(Huang et al., 2020)</t>
  </si>
  <si>
    <t>Flexible Gait Recognition Based on Flow Regulation of Local Features Between Key Frames</t>
  </si>
  <si>
    <t>The objective is to propose a method for flexible gait recognition based on the regulation of local feature flows between key frames.</t>
  </si>
  <si>
    <t>Local Features Flow Regulation</t>
  </si>
  <si>
    <t>(Deng &amp; Wang, 2018)</t>
  </si>
  <si>
    <t>Gait Recognition under Different Clothing Conditions via Deterministic Learning.</t>
  </si>
  <si>
    <t>To recognize human gait under different clothing conditions through feature extraction using deterministic learning.</t>
  </si>
  <si>
    <t>(Xu et al., 2020)</t>
  </si>
  <si>
    <t>Joint Metric Learning and Hierarchical Network for Gait Recognition</t>
  </si>
  <si>
    <t>Improve the ability of feature identification in gait recognition using joint metric learning and hierarchical network.</t>
  </si>
  <si>
    <t xml:space="preserve">3D-CNN </t>
  </si>
  <si>
    <t>(Tong et al., 2018)</t>
  </si>
  <si>
    <t>Multi-View Gait Recognition Based on a Spatial-Temporal Deep Neural Network</t>
  </si>
  <si>
    <t>The objective is to propose a novel spatial-temporal deep neural network for multi-view gait recognition</t>
  </si>
  <si>
    <t>Spatial-Temporal Gradient (STG) features</t>
  </si>
  <si>
    <t>(Mizuno et al., 2024)</t>
  </si>
  <si>
    <t>Subjective Baggage-Weight Estimation Based on Human Walking Behavior.</t>
  </si>
  <si>
    <t>The objective of the paper is to propose a method for estimating the subjective baggage-weight from human gait.</t>
  </si>
  <si>
    <t>G2SW (Gait to Subjective baggage-weight)</t>
  </si>
  <si>
    <t>(Ren et al., 2020)</t>
  </si>
  <si>
    <t>Video-Based Human Motion Capture Data Retrieval via MotionSet Network</t>
  </si>
  <si>
    <t>To propose a new scheme for retrieving human motion capture clips from a database that contain similar motions to a specified query video clip.</t>
  </si>
  <si>
    <t>GaitSet</t>
  </si>
  <si>
    <t>(Zeng et al., 2023)</t>
  </si>
  <si>
    <t>Video-Based Quantification of Gait Impairments in Parkinson's Disease Using Skeleton-Silhouette Fusion Convolution Network.</t>
  </si>
  <si>
    <t>To evaluate Parkinsonian gaits in early stages using a fusion CNN with 2D convolution for gait cycle-related lower limb motion features and graph convolution for spatial and temporal Parkinsonian gait features.</t>
  </si>
  <si>
    <t>(Luo &amp; Tjahjadi, 2020)</t>
  </si>
  <si>
    <t>View and Clothing Invariant Gait Recognition via 3D Human Semantic Folding</t>
  </si>
  <si>
    <t>To provide a robust and efficient gait recognition method which is invariant to camera view and clothing style using a novel 3-dimensional (3D) human semantic folding</t>
  </si>
  <si>
    <t>3D body pose</t>
  </si>
  <si>
    <t>Gait-based human recognition using partial wavelet coherence and phase features</t>
  </si>
  <si>
    <t>(Chen et al., 2022)</t>
  </si>
  <si>
    <t>Gait Pyramid Attention Network: Toward Silhouette Semantic Relation Learning for Gait Recognition</t>
  </si>
  <si>
    <t>The objective of the research paper is to propose a new method to extract human gait information from different ranges of receptive fields, providing richer internal features of the deep network for gait recognition and to address the limited recognition ability of carrying situations.</t>
  </si>
  <si>
    <t>Multilayer Silhouette-Level Feature Extractor</t>
  </si>
  <si>
    <t>IEEE Transactions on Neural Systems and Rehabilitation Engineering</t>
  </si>
  <si>
    <t>IEEE Transactions on Biometrics, Behavior, and Identity Science</t>
  </si>
  <si>
    <t>Gait Quality Aware Network: Toward the Interpretability of Silhouette-Based Gait Recognition</t>
  </si>
  <si>
    <t>(Hou et al., 2023)</t>
  </si>
  <si>
    <t>Proposing a gait quality aware network (GQAN) for gait recognition that explicitly assesses the quality of each silhouette and each part via two blocks: frame quality block (FQBlock) and part quality block (PQBlock), respectively</t>
  </si>
  <si>
    <t>Silhouette-based gait recognition</t>
  </si>
  <si>
    <t>IEEE Transactions on Neural Networks and Learning Systems</t>
  </si>
  <si>
    <t>(Al-Mayyahi et al., 2019</t>
  </si>
  <si>
    <t>Human Gait Identification System Based on Average Silhouette</t>
  </si>
  <si>
    <t>To develop a gait identification system using the average silhouette method for feature representation and Euclidean distance classifier for classification.</t>
  </si>
  <si>
    <t>Average Silhouette Method</t>
  </si>
  <si>
    <t xml:space="preserve">International Conference on Engineering Technology </t>
  </si>
  <si>
    <t>(Jawed et al., 2018)</t>
  </si>
  <si>
    <t>Human Gait Recognition System</t>
  </si>
  <si>
    <t>To develop a system that uses gait technology for biometric identification.</t>
  </si>
  <si>
    <t>PCA (Principal Component Analysis) training</t>
  </si>
  <si>
    <t xml:space="preserve">IEEE Signal Processing </t>
  </si>
  <si>
    <t>(Ismail &amp; Tahir, 2018)</t>
  </si>
  <si>
    <t>Human Gait Silhouettes Extraction Using Haar Cascade Classifier on OpenCV</t>
  </si>
  <si>
    <t>To develop a method for extracting human gait silhouettes using Haar Cascade Classifier on OpenCV for gait recognition applications</t>
  </si>
  <si>
    <t>Geometric Gait Moments (GGM)</t>
  </si>
  <si>
    <t>International Conference on Computer Modelling &amp; Simulation</t>
  </si>
  <si>
    <t>Multi-Modal Human Authentication Using Silhouettes- Gait and RGB</t>
  </si>
  <si>
    <t>(Guo et al., 2023)</t>
  </si>
  <si>
    <t>To propose a multi-modal human authentication approach that uses RGB+Gait biometrics</t>
  </si>
  <si>
    <t>The objective of this research is to extract gait parameters such as height, silhouette width and gait signature of the subject and use them to identify human identity based on their gait using silhouette images.</t>
  </si>
  <si>
    <t>Identification of Gait Parameters from Silhouette Images</t>
  </si>
  <si>
    <t>(Prakash et al., 2015)</t>
  </si>
  <si>
    <t>Gait Signature</t>
  </si>
  <si>
    <t>International Conference on Contemporary Computing</t>
  </si>
  <si>
    <t>Set Residual Network for Silhouette-Based Gait Recognition</t>
  </si>
  <si>
    <t>The objective is to learn more discriminative features from the silhouettes that are invariant to external factors such as clothing, carrying conditions, and camera viewpoints for gait recognition.</t>
  </si>
  <si>
    <t>Set Residual Learning</t>
  </si>
  <si>
    <t>(Chai et al., 2021)</t>
  </si>
  <si>
    <t>To propose a framework that can embed view information into existing architectures of gait recognition to improve gait recognition under multiple views.</t>
  </si>
  <si>
    <t>Silhouette-Based View-Embeddings for Gait Recognition Under Multiple Views</t>
  </si>
  <si>
    <t>Gaitset &amp; GaitGL</t>
  </si>
  <si>
    <t>International Conference on Image Processing</t>
  </si>
  <si>
    <t xml:space="preserve"> A Comprehensive Study on the Evaluation of Silhouette-Based Gait Recognition</t>
  </si>
  <si>
    <t>Provide a comprehensive study of the evaluation of silhouette-based gait recognition to analyze the effect of evaluation protocol and silhouette noise, and narrow the gap of gait evaluation between academic research and real-world settings.</t>
  </si>
  <si>
    <t>GaitSet, SRN, GaitPart, and GLN</t>
  </si>
  <si>
    <t>A Frequency Domain Approach to Silhouette based Gait Recognition</t>
  </si>
  <si>
    <t>To propose a frequency domain-based model-free gait recognition approach from silhouette inputs using Fourier Transform and compare it with other state-of-the-art model-free gait recognition algorithms.</t>
  </si>
  <si>
    <t>Fourier Transform.</t>
  </si>
  <si>
    <t>International Conference on Computing, Communication and Automation (ICCCA-2017</t>
  </si>
  <si>
    <t>A method of carried object detection based on key posture of silhouette</t>
  </si>
  <si>
    <t>To detect carried objects based on key posture of silhouette.</t>
  </si>
  <si>
    <t>Chinese Journal of Electronics.</t>
  </si>
  <si>
    <t>An RGB Gait Anonymization Model for Low-Quality Silhouettes.</t>
  </si>
  <si>
    <t>To present a network that can generate natural anonymized gaits from low-quality silhouette gaits and transfer the color of the original gait image to the anonymized gait.</t>
  </si>
  <si>
    <t>IEEE Transactions on Information Forensics and Security.</t>
  </si>
  <si>
    <t>Anonymization of Gait Silhouette Video by Perturbing Its Phase and Shape Components.</t>
  </si>
  <si>
    <t>To develop a method for anonymizing gait silhouette videos through perturbing its shape and phase components, and to compare the proposed method with GEI and GEnI.</t>
  </si>
  <si>
    <t>Anonymization of Human Gait in Video Based on Silhouette Deformation and Texture Transfer.</t>
  </si>
  <si>
    <t>Anonymization of human gait in video.</t>
  </si>
  <si>
    <t>Deep Convolutional Feature-based Gait Recognition Using Silhouettes and RGB Images</t>
  </si>
  <si>
    <t>To investigate the performance of deep convolutional features for gait recognition using silhouettes and RGB images</t>
  </si>
  <si>
    <t xml:space="preserve"> 3DCNN model</t>
  </si>
  <si>
    <t>IEEE Transactions on Image Processing</t>
  </si>
  <si>
    <t>To propose a simple and effective fusion model that combines Silhouette and Pose features to achieve both the accuracy as well as the robustness of gait recognition.</t>
  </si>
  <si>
    <t>CNN</t>
  </si>
  <si>
    <t>IEEE Access.</t>
  </si>
  <si>
    <t>Feature Map Pooling for Cross-View Gait Recognition Based on Silhouette Sequence Images.</t>
  </si>
  <si>
    <t>Develop a novel convolutional neural network-based approach to extract and aggregate useful information from gait silhouette sequence images.</t>
  </si>
  <si>
    <t xml:space="preserve"> CNN</t>
  </si>
  <si>
    <t>Gender classification from gait silhouette using observation angle-based GEIs.</t>
  </si>
  <si>
    <t>To propose a method for gender recognition based on gait using GEIs and observation angle classification</t>
  </si>
  <si>
    <t>IEEE Conference on Cybernetics and Intelligent Systems (CIS) and Robotics, Automation and Mechatronics (RAM).</t>
  </si>
  <si>
    <t>Gender Recognition via Fused Silhouette Features Based on Visual Sensors</t>
  </si>
  <si>
    <t>To propose a gender recognition method that utilizes multi-modal salient features based on both visible light imaging and depth measurements</t>
  </si>
  <si>
    <t>Human identification using skeletal gait and silhouette data extracted by Microsoft Kinec</t>
  </si>
  <si>
    <t>To propose a method for human identification using gait and silhouette data extracted by Microsoft Kinect</t>
  </si>
  <si>
    <t xml:space="preserve">Mass Vector approach </t>
  </si>
  <si>
    <t>SCIS&amp;ISIS 2014</t>
  </si>
  <si>
    <t>On Reducing the Effect of Silhouette Quality on Individual Gait Recognition: A Feature Fusion Approach</t>
  </si>
  <si>
    <t>To reduce the effect of silhouette quality on individual gait recognition using feature fusion</t>
  </si>
  <si>
    <t>Gait Silhouette Energy(GSE)</t>
  </si>
  <si>
    <t xml:space="preserve"> IEEE Transactions on Systems, Man, and Cybernetics, Part B: Cybernetics</t>
  </si>
  <si>
    <t>Gait Recognition via Pareto Optimal Feature Selection and Fusion</t>
  </si>
  <si>
    <t>Developing an effective gait recognition system by selecting and fusing the most important features using a Pareto-based approach.</t>
  </si>
  <si>
    <t>Single-support GEI</t>
  </si>
  <si>
    <t>Multimedia Tools and Applications</t>
  </si>
  <si>
    <t>MM-gait: A Multi-modal Biometric Dataset for Gait Recognition with Smartphone and RGB-Depth Cameras</t>
  </si>
  <si>
    <t>Multi-Modal Gait Recognition via Intrinsic Connectivities Between Different Modalities</t>
  </si>
  <si>
    <t>To propose a multi-modal fusion module (MFM) to model the interactions between different modalities and a gait feature encoder, Gait-Encoder, to globally encode the gait features vectors, thereby recognizing human gait through the encoded high-level semantic motion features</t>
  </si>
  <si>
    <t>Holistic Silhoutte</t>
  </si>
  <si>
    <t>Sensors</t>
  </si>
  <si>
    <t>Multistage Convolutional Neural Networks for Automatic Age Estimation from Gait Sequences</t>
  </si>
  <si>
    <t>Automatic age estimation from gait sequences using multiscale CNN-based approach</t>
  </si>
  <si>
    <t>IPSJ Transactions on Computer Vision and Applications.</t>
  </si>
  <si>
    <t>Silhouette-based Gait Recognition using CNN-RNN</t>
  </si>
  <si>
    <t>To design a human gait classifier that facilitates human recognition through their walk using a CNN-RNN model</t>
  </si>
  <si>
    <t>2022 International Conference on Recent Progresses in Science, Engineering and Technology (ICRPSET</t>
  </si>
  <si>
    <t>Simplest representation yet for gait recognition averaged silhouette</t>
  </si>
  <si>
    <t>To propose a new gait recognition technique using averaged silhouette representation</t>
  </si>
  <si>
    <t>PCA</t>
  </si>
  <si>
    <t>Su &amp; Wang, 2016)</t>
  </si>
  <si>
    <t>(Tieu et al., 2019)</t>
  </si>
  <si>
    <t>(Hirose et al., 2019)</t>
  </si>
  <si>
    <t>(Içik &amp; Ekenel, 2021)</t>
  </si>
  <si>
    <t>(Zhao et al., 2023)</t>
  </si>
  <si>
    <t>(Chen et al., 2017)</t>
  </si>
  <si>
    <t>(Kitchat et al., 2019)</t>
  </si>
  <si>
    <t>(Bei et al., 2019)</t>
  </si>
  <si>
    <t>(Jianwattanapaisarn et al., 2014)</t>
  </si>
  <si>
    <t>(Jia et al., 2015)</t>
  </si>
  <si>
    <t>(Poulose &amp; Kt, 2022)</t>
  </si>
  <si>
    <t>An Analytical Study on the influence of using Trimmed Gait Energy Images for Human Gait Biometrics using Deep Learning</t>
  </si>
  <si>
    <t>The paper aims to analyze the effect of using trimmed Gait Energy Images (GEI) for Human Recognition using different deep learning techniques</t>
  </si>
  <si>
    <t>2022 2nd international Conference on Advance Computing in innovative technologies in Enginneering (ICACITE)</t>
  </si>
  <si>
    <t>(Zhang et al., 2023)</t>
  </si>
  <si>
    <t>Gait Energy Image-Based Human Attribute Recognition Using Two-Branch Deep Convolutional Neural Network</t>
  </si>
  <si>
    <t>To improve the performance of gait-based human attribute recognition systems by combining gender recognition and age estimation tasks and investigating the contribution of different body regions on attribute recognition tasks</t>
  </si>
  <si>
    <t>IEEE Transactions on Biometrics, Behavior, and Identity Science, Vol. 5, No. 1, January 2023</t>
  </si>
  <si>
    <t xml:space="preserve"> (Junaid et al., 2022)</t>
  </si>
  <si>
    <t>Gait Identification using Deep Convolutional Network and Attention Technique</t>
  </si>
  <si>
    <t>To present a multiple-view gait detection method using deep convolutional neural networks and a channel-based attention technique for successful handling of problems in gait detection</t>
  </si>
  <si>
    <t>2022 IEEE 6th International Conference on Condition Assessment Techniques in Electrical Systems(CATCON)</t>
  </si>
  <si>
    <t xml:space="preserve"> (Yuan et al., 2016)</t>
  </si>
  <si>
    <t>Gait Recognition Based on Fourier Descriptors and Canonical Time Warping</t>
  </si>
  <si>
    <t xml:space="preserve"> To propose a gait recognition algorithm based on the fourier descriptors and canonical time warping techniques</t>
  </si>
  <si>
    <t>Fourier Descriptors</t>
  </si>
  <si>
    <t>2015 8th International Symposium on computational Intelligence and Design (ISCID)</t>
  </si>
  <si>
    <t>(Inui et al., 2020)</t>
  </si>
  <si>
    <t>Gait recognition in real environment using gait energy image generated by Mask R-CNN</t>
  </si>
  <si>
    <t>Contribute to person authentication and tracking with more credible accuracy to people wearing different clothes or cases when part of the body is occluded</t>
  </si>
  <si>
    <t>Proceedings of 2020 IEEE International Conference on Mechatronics and Automation</t>
  </si>
  <si>
    <t>(Chiu et al., 2019)</t>
  </si>
  <si>
    <t>To propose a vision-based gait identification system to recognize testers’ identities in variable walking speed</t>
  </si>
  <si>
    <t xml:space="preserve">Gait Energy Image, Histogram of Oriented Gradients </t>
  </si>
  <si>
    <t>2019 International Conference on Fuzzy Theory and Its Applications (iFUZZY)</t>
  </si>
  <si>
    <t>(Rohan et al., 2020)</t>
  </si>
  <si>
    <t>Human Pose Estimation-Based Real-Time Gait Analysis Using Convolutional Neural Network</t>
  </si>
  <si>
    <t>Human gait analysis using a real-time convolutional neural network (CNN) model and a newly developed dataset</t>
  </si>
  <si>
    <t>To propose a large-scale multi-modal gait recognition dataset and investigate the accuracy of deep multi-modal fusion systems on it.</t>
  </si>
  <si>
    <t xml:space="preserve">Research Question </t>
  </si>
  <si>
    <t>Objective 1:</t>
  </si>
  <si>
    <t xml:space="preserve"> Identify Various silhouette Feature Representation Techniques. </t>
  </si>
  <si>
    <t xml:space="preserve"> Investigating The Limitations and Strengths of Silhouette Feature Representation</t>
  </si>
  <si>
    <t>Objective 2:</t>
  </si>
  <si>
    <t xml:space="preserve">Objective 3:  </t>
  </si>
  <si>
    <t>Comparing how silhouette feature representation techniques have impacted Gait Analysis for Biometric Recognition.</t>
  </si>
  <si>
    <t>CNN, Gait Energy Image (GEI)</t>
  </si>
  <si>
    <t>Gait Energy Image (GEI) ,CNN</t>
  </si>
  <si>
    <t>Fused Silhouette Features (Two-stream CNN, Gait Energy Image (GEI))</t>
  </si>
  <si>
    <t>Gait Energy Image (GEI) and GEnI.</t>
  </si>
  <si>
    <t>Long-Term Gait Environmental Imaging (Long-Term Gait Energy Image (GEI)).</t>
  </si>
  <si>
    <t>(Hou et al., 2021)</t>
  </si>
  <si>
    <t xml:space="preserve">mGait </t>
  </si>
  <si>
    <t>Depth Human Silhouettes</t>
  </si>
  <si>
    <t>Binary Silhouettes</t>
  </si>
  <si>
    <t>Custom Shadow Detection from MOG2</t>
  </si>
  <si>
    <t>KNN</t>
  </si>
  <si>
    <t>Fourier Transform</t>
  </si>
  <si>
    <t>Pose estimation using OpenPose</t>
  </si>
  <si>
    <t>Joint Energy Image (JEI) (Custom GEI)</t>
  </si>
  <si>
    <t>Long-Term Gait Environmental Imaging (Long-Term Gait Energy Image (GEI)) (Custom GEI)</t>
  </si>
  <si>
    <t>Gaitset</t>
  </si>
  <si>
    <t>GaitGL</t>
  </si>
  <si>
    <t>SRN</t>
  </si>
  <si>
    <t>GaitPart</t>
  </si>
  <si>
    <t>GLN</t>
  </si>
  <si>
    <t>SILHOUETTE FEATURE REPRESENTATION</t>
  </si>
  <si>
    <t xml:space="preserve">FREQUENCY </t>
  </si>
  <si>
    <t>STRENGTH</t>
  </si>
  <si>
    <t>DESCRIPTION</t>
  </si>
  <si>
    <t xml:space="preserve">WEAKNESS </t>
  </si>
  <si>
    <t>GAIT ENERGY IMAGE (GEI)</t>
  </si>
  <si>
    <t xml:space="preserve">Robustness </t>
  </si>
  <si>
    <t>GEI is useful for recognizing individuals from a distance without their cooperation.</t>
  </si>
  <si>
    <t>Sensitivity</t>
  </si>
  <si>
    <t>GEI cannot correctly recognize gait patterns when the subject is walking on a very different surface compared to the training data.</t>
  </si>
  <si>
    <t>Versatility</t>
  </si>
  <si>
    <t>GEI-based applications can identify individuals even when they are carrying objects or wearing different clothing.</t>
  </si>
  <si>
    <t>Covariate-dependency</t>
  </si>
  <si>
    <t>GEI is affected by various covariate factors such as object carrying, clothing, etc.</t>
  </si>
  <si>
    <t>GEI offers better results in gait recognition across different views compared to other methods.</t>
  </si>
  <si>
    <t>GEI can be used as a reliable feature for gait recognition since it is robust against noise and partial occlusions.</t>
  </si>
  <si>
    <t>GEI becomes less effective if there are significant changes in view angle or walking speed between the training and test datasets.</t>
  </si>
  <si>
    <t>GEI requires high-quality image or video input to generate reliable gait features.</t>
  </si>
  <si>
    <t>Accuracy</t>
  </si>
  <si>
    <t>Reliability</t>
  </si>
  <si>
    <t>Input quality-dependency</t>
  </si>
  <si>
    <t>Generalizability</t>
  </si>
  <si>
    <t>Robustness</t>
  </si>
  <si>
    <t>CNNs can be robust to variations in the input such as changes in lighting, pose, and background due to their ability to learn spatially invariant features.</t>
  </si>
  <si>
    <t>Automatic feature extraction</t>
  </si>
  <si>
    <t>CNNs can automatically learn features from the input data, without the need for human-designed feature extraction.</t>
  </si>
  <si>
    <t>Translation invariance</t>
  </si>
  <si>
    <t>CNNs can be translation invariant, which means that they can identify patterns in the input regardless of their position.</t>
  </si>
  <si>
    <t>Hierarchical feature learning</t>
  </si>
  <si>
    <t>CNNs can learn hierarchical representations of the input data, where lower layers learn simple features and higher layers learn more complex features, leading to improved performance on tasks such as image classification.</t>
  </si>
  <si>
    <t>Need for large datasets</t>
  </si>
  <si>
    <t>CNNs often require large amounts of labeled data for training, which can be difficult to obtain.</t>
  </si>
  <si>
    <t>Overfitting</t>
  </si>
  <si>
    <t>CNNs can be prone to overfitting, especially if the model is too complex or the training data is limited.</t>
  </si>
  <si>
    <t>Computational cost</t>
  </si>
  <si>
    <t>Training CNNs can be computationally expensive and time-consuming, especially if the model is large.</t>
  </si>
  <si>
    <t>Lack of interpretability</t>
  </si>
  <si>
    <t>Due to their complex architecture, it can be difficult to interpret how CNNs make decisions, which can make it challenging to understand how the model arrives at its predictions.</t>
  </si>
  <si>
    <t>Fourier Transform is a computationally efficient algorithm for calculating shape and action representations in image and signal processing.</t>
  </si>
  <si>
    <t>Computational Efficiency</t>
  </si>
  <si>
    <t xml:space="preserve">Informativeness </t>
  </si>
  <si>
    <t>Fourier coefficients provide informative frequency domain features which can improve the accuracy of recognition.</t>
  </si>
  <si>
    <t>Flexibility</t>
  </si>
  <si>
    <t>Fourier Transform can be applied to input signals or images of arbitrary length and dimension, making it a flexible algorithm for feature extraction and representation.</t>
  </si>
  <si>
    <t>Sensitivity to noise</t>
  </si>
  <si>
    <t>Fourier Transform-based methods may be sensitive to noise in the input data, which can impact the accuracy of recognition.</t>
  </si>
  <si>
    <t>Loss of spatial information</t>
  </si>
  <si>
    <t>Fourier Transform-based methods lose the spatial information of the input signal or image, potentially reducing the accuracy of recognition.</t>
  </si>
  <si>
    <t>Limited discriminative power</t>
  </si>
  <si>
    <t>Fourier Transform-based methods may not be discriminative enough to distinguish between complex classes, limiting their ability to accurately recognize certain types of data.</t>
  </si>
  <si>
    <t>Depth Human Silhouettes features can distinguish individuals based on their gait or body shape.</t>
  </si>
  <si>
    <t>Silhouette features can overcome challenges such as changes in clothing or lighting conditions.</t>
  </si>
  <si>
    <t>Low-dimensional</t>
  </si>
  <si>
    <t>Silhouette features can be represented with a small number of dimensions, reducing computational cost.</t>
  </si>
  <si>
    <t>Unconstrained</t>
  </si>
  <si>
    <t xml:space="preserve"> Silhouette features can be extracted from unconstrained camera views, making it possible for surveillance systems to identify people.</t>
  </si>
  <si>
    <t>Occlusions</t>
  </si>
  <si>
    <t>Silhouette features can be affected by occlusion, where a portion of the silhouette is blocked.</t>
  </si>
  <si>
    <t xml:space="preserve">Pose dependence </t>
  </si>
  <si>
    <t>Silhouette features can be sensitive to variations in posture or joint angles.</t>
  </si>
  <si>
    <t xml:space="preserve">Ambiguity </t>
  </si>
  <si>
    <t>Silhouette features cannot always reliably differentiate between individuals with similar body shapes or gaits.</t>
  </si>
  <si>
    <t>Template dependency</t>
  </si>
  <si>
    <t>Silhouette feature-based methods rely on the quality of the template used to extract features, which can be a limitation in some applications.</t>
  </si>
  <si>
    <t>FOURIER TRANSFORM</t>
  </si>
  <si>
    <t>DEPTH HUMAN SILHOUETTES</t>
  </si>
  <si>
    <t>GAITSET</t>
  </si>
  <si>
    <t>GaitSet is a silhouette-based gait recognition approach that achieves high accuracy. This is a major strength of the approach, as high accuracy is critically important for many real-world applications of gait recognition, including surveillance and security systems.</t>
  </si>
  <si>
    <t>High Accuracy</t>
  </si>
  <si>
    <t>Robustness to noise</t>
  </si>
  <si>
    <t>Another strength of GaitSet is that it is robust to noise. This means that the approach is able to maintain accurate recognition performance even in the presence of noisy or degraded gait sequences. This is due to the use of set-based learning, which allows the approach to effectively integrate information from multiple gait sequences.</t>
  </si>
  <si>
    <t>High Computational Cost</t>
  </si>
  <si>
    <t xml:space="preserve"> One weakness of GaitSet is that it has a high computational cost. This means that the approach requires significant computational resources to train and evaluate, which can be a limiting factor for some applications. The high computational cost is due to the complexity of the set-based feature learning process, which requires pairwise comparisons between all pairs of gait sequences.</t>
  </si>
  <si>
    <t>Sensitivity to gait speed changes</t>
  </si>
  <si>
    <t xml:space="preserve"> A second weakness of GaitSet is that it is sensitive to changes in gait speed. This means that changes in gait speed can cause performance degradation in the system. This is because GaitSet is designed to capture both gait dynamics and appearance information, which can vary significantly with changes in gait speed. As a result, performance can suffer when gait speed varies greatly.</t>
  </si>
  <si>
    <t>Investigating the impact of Silhouette Feature Representation on Gait Analysis for Biometric Recognition</t>
  </si>
  <si>
    <t xml:space="preserve">Accuracy </t>
  </si>
  <si>
    <t>(Wang et al., 2023)</t>
  </si>
  <si>
    <t xml:space="preserve">Reference </t>
  </si>
  <si>
    <t>Frequency</t>
  </si>
  <si>
    <t>Strengths</t>
  </si>
  <si>
    <t>Information Loss</t>
  </si>
  <si>
    <t>Robust</t>
  </si>
  <si>
    <t>Computational Cost</t>
  </si>
  <si>
    <t>(Chtourou et al., 2018), (Aljazaerly et al., 2023), (Henderson et al., 2023), (Zeng et al., 2023)</t>
  </si>
  <si>
    <t>Weakness</t>
  </si>
  <si>
    <t xml:space="preserve">Dependent on View-Point </t>
  </si>
  <si>
    <t>Low accuracy for phase-only anonymized silhouettes</t>
  </si>
  <si>
    <t>(Hirose et al., 2019), (Hirose et al., 2022)</t>
  </si>
  <si>
    <t>(Youssef et al., 2023), (Aljazaerly et al., 2023), (Wang et al., 2023), (Guo et al., 2023), (Hirose et al., 2022), (Bei et al., 2019)</t>
  </si>
  <si>
    <t>Informative</t>
  </si>
  <si>
    <t>(Hasan  et al., 2022)</t>
  </si>
  <si>
    <t>(Chtourou et al., 2018), (Aljazaerly et al., 2023), (Hirose et al., 2019), (Hirose et al., 2022), (Hasan  et al., 2022)</t>
  </si>
  <si>
    <t>(Hasan  et al., 2022), (Poulose &amp; Kt, 2022),  (Junaid et al., 2022)</t>
  </si>
  <si>
    <t>(Youssef et al., 2023), (Chtourou et al., 2018), (Wang et al., 2023), (Henderson et al., 2023), (Deng &amp; Wang, 2018), (Zeng et al., 2023), (Tieu et al., 2019), (Hirose et al., 2022), (Kitchat et al., 2019), (Bei et al., 2019), (Zhang et al., 2023),  (Junaid et al., 2022), (Inui et al., 2020)</t>
  </si>
  <si>
    <t>(Wang et al., 2023), (Deng &amp; Wang, 2018), (Tieu et al., 2019), (Bei et al., 2019), (Poulose &amp; Kt, 2022), (Zhang et al., 2023), (Inui et al., 2020)</t>
  </si>
  <si>
    <t>(Deng &amp; Wang, 2018), (Zeng et al., 2023), (Kitchat et al., 2019), (Bei et al., 2019), (Zhang et al., 2023), (Inui et al., 2020)</t>
  </si>
  <si>
    <t xml:space="preserve">Gait Recognition Using Flow Histogram Energy 
Image </t>
  </si>
  <si>
    <t xml:space="preserve">Histogram Energy Image </t>
  </si>
  <si>
    <t>A Model Free Gait Recognition using Random Forest Method</t>
  </si>
  <si>
    <t xml:space="preserve">The objective of this research paper is to present an approach for model free gait recognition using supervised learning through the utilization of gait entropy images (GEnIs) as features to represent gait information and the inclusion of view angle information to enhance the robustness of gait recognition. </t>
  </si>
  <si>
    <t>(Nahar et al., 2024)</t>
  </si>
  <si>
    <t>(Ehaimir et al., 2017)</t>
  </si>
  <si>
    <t xml:space="preserve">The aim of this particular research paper is to propose a new method for identifying human gait based on gait biometric using a combination of Gait Pal and Pal Entropy (GPPE) images and features based distances. </t>
  </si>
  <si>
    <t xml:space="preserve"> Sudan Conference on Computer Science and Information Technology (SCCSIT) </t>
  </si>
  <si>
    <t>(Li et al., 2017)</t>
  </si>
  <si>
    <t xml:space="preserve">View-normalized gait recognition based on gait frame difference entropy image </t>
  </si>
  <si>
    <t xml:space="preserve">The objective of this paper is to address the problem caused by the difference of view in the gait image sequence leading to the inconsistency of information contained in the different sequences of the same object, which affects the accuracy of feature extraction and increases the difficulty of recognition. </t>
  </si>
  <si>
    <t>International Conference on Computational Intelligence and Security</t>
  </si>
  <si>
    <t>GAIT ENTROPY IMAGE (GEnI)</t>
  </si>
  <si>
    <t>Reference</t>
  </si>
  <si>
    <t xml:space="preserve">"GEI-based gait recognizer originally does not use the dynamic component. Hence, the phase perturbation cannot give a serious effect on the accuracy of GEI. This is also the case with GEnI. Indeed, GEnI reflects the dynamic component a little, but it lacks the information about changes in phase." </t>
  </si>
  <si>
    <t>Dynamic</t>
  </si>
  <si>
    <t>It modestly includes both static and dynamic information about a person's gait.</t>
  </si>
  <si>
    <t xml:space="preserve">Robust </t>
  </si>
  <si>
    <t>Information loss</t>
  </si>
  <si>
    <t>(Hirose et al., 2019), (Nahar et al., 2024)</t>
  </si>
  <si>
    <t xml:space="preserve">Computation Cost </t>
  </si>
  <si>
    <t>Effective</t>
  </si>
  <si>
    <t>Informativeness</t>
  </si>
  <si>
    <t>(Hirose et al., 2019), (Ehaimir et al., 2017)</t>
  </si>
  <si>
    <t>View Dependence</t>
  </si>
  <si>
    <t>(Nahar et al., 2024), (Li et al., 2017)</t>
  </si>
  <si>
    <t>(Ehaimir et al., 2017), (Li et al., 2017)</t>
  </si>
  <si>
    <t>(Li et al., 2017), (Hirose et al., 2019)</t>
  </si>
  <si>
    <t xml:space="preserve">DEPTH HUMAN SILHOUETTE </t>
  </si>
  <si>
    <t>DEPTH HUMAN SILHOUETTE</t>
  </si>
  <si>
    <t xml:space="preserve">Computational Cost </t>
  </si>
  <si>
    <t xml:space="preserve">Occlusion Handling </t>
  </si>
  <si>
    <t>(Ali et al., 2018), (González et al., 2016)</t>
  </si>
  <si>
    <t xml:space="preserve">Depth Human Silhouette </t>
  </si>
  <si>
    <t>(Chattopadhyay et al., 2014)</t>
  </si>
  <si>
    <t>The objective of this paper is to explore the applicability of Kinect RGB-D streams in recognizing gait patterns of individuals. Specifically, the paper concentrates on gait recognition from frontal view (frontal gait recognition) using a novel feature called Pose Depth Volume (PDV).</t>
  </si>
  <si>
    <t>Pose Depth Volume extraction from RGB-D streams for frontal gait recognition</t>
  </si>
  <si>
    <t>Crossmark</t>
  </si>
  <si>
    <t>(Ali et al., 2018), (Park et al., 2016), (Chattopadhyay et al., 2014)</t>
  </si>
  <si>
    <t>(Ali et al., 2018), (González et al., 2016), (Chattopadhyay et al., 2014)</t>
  </si>
  <si>
    <t>(Ali et al., 2018), (Park et al., 2016), (González et al., 2016), (Chattopadhyay et al., 2014)</t>
  </si>
  <si>
    <t xml:space="preserve">GAIT FLOW IMAGE </t>
  </si>
  <si>
    <t>Informativess</t>
  </si>
  <si>
    <t xml:space="preserve">The objectives of the paper are to evaluate the performance of a proposed gait recognition method on two databases (OU-ISIR-A and CMU MoBo) under various walking conditions, and to assess the computational complexity of the proposed method. </t>
  </si>
  <si>
    <t>Gait recognition via hierarchical deep spatio-temporal features</t>
  </si>
  <si>
    <t xml:space="preserve">Gait Flow Image </t>
  </si>
  <si>
    <t xml:space="preserve">Pattern Recognition </t>
  </si>
  <si>
    <t>(Deng et al., 2018)</t>
  </si>
  <si>
    <t>Attention-based gait recognition network with novel partial representation PGOFI based on prior motion information</t>
  </si>
  <si>
    <t>The objective of the paper is to propose a method for gait recognition using a combination of motion and appearance information</t>
  </si>
  <si>
    <t>Digital Signal Processing</t>
  </si>
  <si>
    <t>(Xu et al., 2023)</t>
  </si>
  <si>
    <t>Gait Optical Flow Image Decomposition for Human Recognition</t>
  </si>
  <si>
    <t xml:space="preserve">The objective of the paper is to propose a gait classification system based on optical flow features and gait period estimation. </t>
  </si>
  <si>
    <t>Journal of Information Science and Engineering</t>
  </si>
  <si>
    <t>(Luo et al., 2016)</t>
  </si>
  <si>
    <t>Human Gait Recognition Using Gait Flow Image and Extension Neural Network</t>
  </si>
  <si>
    <t xml:space="preserve">The objective is to propose a novel gait recognition method based on Gait Flow Image (GFI) and Extension Neural Network (ENN). </t>
  </si>
  <si>
    <t>Book with the DOI: 10.1007/978-81-322-2523-2_1.</t>
  </si>
  <si>
    <t>(Narula &amp; Srivastava 2015)</t>
  </si>
  <si>
    <t>Analysis of Gait Flow Image and Gait Gaussian Image Using Extension Neural Network for Gait Recognition</t>
  </si>
  <si>
    <t>The objective of the paper is to propose a new method for gait recognition using gait flow image and gait Gaussian image</t>
  </si>
  <si>
    <t>International Journal of Rough Sets and Data Analysis</t>
  </si>
  <si>
    <t>GAIT FLOW IMAGE</t>
  </si>
  <si>
    <t>View Dependency</t>
  </si>
  <si>
    <t>Adaptability</t>
  </si>
  <si>
    <t>(Deng et al., 2018), (Xu et al., 2023), (Luo et al., 2016), (Narula &amp; Srivastava 2015), (Narula &amp; Srivastava 2016)</t>
  </si>
  <si>
    <t>(Xu et al., 2023), (Luo et al., 2016),(Narula &amp; Srivastava 2015), (Narula &amp; Srivastava 2016)</t>
  </si>
  <si>
    <t>(Xu et al., 2023), (Luo et al., 2016), (Narula &amp; Srivastava 2015), (Narula &amp; Srivastava 2016)</t>
  </si>
  <si>
    <t>(Luo et al., 2016), (Narula &amp; Srivastava 2015), (Narula &amp; Srivastava 2016)</t>
  </si>
  <si>
    <t>(Deng et al., 2018), (Xu et al., 2023), (Narula &amp; Srivastava 2016)</t>
  </si>
  <si>
    <t xml:space="preserve">Age-Invariant Cross-Age Face Verification using Transfer Learning </t>
  </si>
  <si>
    <t>The objective of the study is to develop a method for cross-age face verification that utilizes advanced deep learning techniques to extract resilient and distinctive facial features that are less susceptible to age-related fluctuations.</t>
  </si>
  <si>
    <t>Histogram of Oriented Gradient</t>
  </si>
  <si>
    <t>Inteligencia Artificial</t>
  </si>
  <si>
    <t>(Russel et al., 2024)</t>
  </si>
  <si>
    <t>Residual Attention based Long-Short Term Memory with Self Gated Rectified 
Linear Unit for Anomalous Behavior Detection</t>
  </si>
  <si>
    <t xml:space="preserve">The objective of the study presented in the paper is the proposal of a Residual Attention-based LSTM with SGReLU for early and accurate detection of weapon and anomalous behavior. </t>
  </si>
  <si>
    <t>Journal of Intelligent Engineering and Systems</t>
  </si>
  <si>
    <t>(Kalla &amp; Gogulamanda, 2024)</t>
  </si>
  <si>
    <t>(Narula &amp; Srivastava, 2016)</t>
  </si>
  <si>
    <t>(Narula &amp; Srivastava, 2015)</t>
  </si>
  <si>
    <t>Identification of Adulterants to Chili Powder Using an Electronic Nose Based on PCA-Fisher and Kernel Discriminant Analysis</t>
  </si>
  <si>
    <t>The objective of this paper is to develop a method for the identification of adulterants in chili powder samples using an electronic nose.</t>
  </si>
  <si>
    <t xml:space="preserve">Applied Sciences </t>
  </si>
  <si>
    <t>(Peng et al., 2024)</t>
  </si>
  <si>
    <t>Utilizing Machine Learning Techniques for Digital Image Forensics: A Comprehensive Study</t>
  </si>
  <si>
    <t>To develop a comprehensive approach for forensic analysis of digital images using machine learning techniques.</t>
  </si>
  <si>
    <t>International Journal of Advanced Computer Science and Applications (IJACSA)</t>
  </si>
  <si>
    <t>(Iqbal et al., 2024)</t>
  </si>
  <si>
    <t>Vision-Based On-Road Nighttime Vehicle Detection and
Tracking Using Improved HOG Features</t>
  </si>
  <si>
    <t>To propose a vehicle detection method based on an improved Histogram of Gradients (HOG) feature that can effectively detect vehicles in various urban and highway scenarios under complicated conditions such as low illumination, occlusion, and partial target exposure.</t>
  </si>
  <si>
    <t>(Zhang et al., 2024)</t>
  </si>
  <si>
    <t>HISTOGRAM OF ORIENTED GRADIENTS</t>
  </si>
  <si>
    <t>Potential Overfitting</t>
  </si>
  <si>
    <t>(Russel et al., 2024), (Kalla &amp; Gogulamanda, 2024), (Peng et al., 2024),(Iqbal et al., 2024)</t>
  </si>
  <si>
    <t>(Russel et al., 2024), (Kalla &amp; Gogulamanda, 2024), (Peng et al., 2024), (Iqbal et al., 2024)</t>
  </si>
  <si>
    <t>(Kalla &amp; Gogulamanda, 2024), (Peng et al., 2024), (Iqbal et al., 2024)</t>
  </si>
  <si>
    <t xml:space="preserve">Motion Image Silhouette </t>
  </si>
  <si>
    <t>Action recognition in freestyle wrestling using silhouette-skeleton features</t>
  </si>
  <si>
    <t>Human Gait Identity Recognition System based on Gait Pal and  Pal Entropy (GPPE) and Distances Features 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</si>
</sst>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6"/>
      <color theme="1"/>
      <name val="Aptos Narrow"/>
      <family val="2"/>
      <scheme val="minor"/>
    </font>
    <font>
      <sz val="11"/>
      <color theme="1"/>
      <name val="Aptos"/>
      <family val="2"/>
    </font>
    <font>
      <sz val="11"/>
      <color rgb="FF000000"/>
      <name val="Aptos Narrow"/>
      <family val="2"/>
      <scheme val="minor"/>
    </font>
    <font>
      <sz val="24"/>
      <color theme="1"/>
      <name val="Aptos Display"/>
      <family val="2"/>
      <scheme val="major"/>
    </font>
    <font>
      <b/>
      <sz val="12"/>
      <color theme="1"/>
      <name val="Aptos Narrow"/>
      <family val="2"/>
      <scheme val="minor"/>
    </font>
    <font>
      <sz val="24"/>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3" fontId="0" fillId="0" borderId="0" xfId="0" applyNumberFormat="1"/>
    <xf numFmtId="0" fontId="0" fillId="0" borderId="0" xfId="0" applyAlignment="1">
      <alignment wrapText="1"/>
    </xf>
    <xf numFmtId="0" fontId="2" fillId="0" borderId="0" xfId="0" applyFont="1" applyAlignment="1">
      <alignment horizontal="center" wrapText="1"/>
    </xf>
    <xf numFmtId="0" fontId="2" fillId="0" borderId="0" xfId="0" applyFont="1" applyAlignment="1">
      <alignment horizontal="center"/>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3" fillId="3" borderId="0" xfId="0" applyFont="1" applyFill="1"/>
    <xf numFmtId="0" fontId="3" fillId="3" borderId="0" xfId="0" applyFont="1" applyFill="1" applyAlignment="1">
      <alignment wrapText="1"/>
    </xf>
    <xf numFmtId="0" fontId="0" fillId="3" borderId="0" xfId="0" applyFill="1" applyAlignment="1">
      <alignment horizontal="left" wrapText="1"/>
    </xf>
    <xf numFmtId="0" fontId="3" fillId="3" borderId="0" xfId="0" applyFont="1" applyFill="1" applyAlignment="1">
      <alignment vertical="center"/>
    </xf>
    <xf numFmtId="0" fontId="4" fillId="3" borderId="0" xfId="0" applyFont="1" applyFill="1" applyAlignment="1">
      <alignment wrapText="1"/>
    </xf>
    <xf numFmtId="0" fontId="0" fillId="4" borderId="0" xfId="0" applyFill="1"/>
    <xf numFmtId="0" fontId="0" fillId="4" borderId="0" xfId="0" applyFill="1" applyAlignment="1">
      <alignment wrapText="1"/>
    </xf>
    <xf numFmtId="0" fontId="2" fillId="0" borderId="0" xfId="0" applyFont="1"/>
    <xf numFmtId="0" fontId="0" fillId="0" borderId="0" xfId="0" applyAlignment="1">
      <alignment horizontal="center" wrapText="1"/>
    </xf>
    <xf numFmtId="0" fontId="0" fillId="0" borderId="0" xfId="0" applyAlignment="1">
      <alignment horizontal="center"/>
    </xf>
    <xf numFmtId="0" fontId="6" fillId="0" borderId="0" xfId="0" applyFont="1" applyAlignment="1">
      <alignment horizontal="center"/>
    </xf>
    <xf numFmtId="0" fontId="6" fillId="0" borderId="0" xfId="0" applyFont="1" applyAlignment="1">
      <alignment horizontal="center" wrapText="1"/>
    </xf>
    <xf numFmtId="0" fontId="5" fillId="0" borderId="0" xfId="0" applyFont="1" applyAlignment="1">
      <alignment horizontal="center"/>
    </xf>
    <xf numFmtId="0" fontId="7" fillId="0" borderId="0" xfId="0" applyFont="1" applyAlignment="1">
      <alignment horizontal="center"/>
    </xf>
    <xf numFmtId="0" fontId="0" fillId="0" borderId="0" xfId="0" applyAlignment="1">
      <alignment horizontal="center" vertical="center"/>
    </xf>
    <xf numFmtId="0" fontId="7" fillId="0" borderId="0" xfId="0" applyFont="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'Final Silhouette Techniques'!$B$1</c:f>
              <c:strCache>
                <c:ptCount val="1"/>
                <c:pt idx="0">
                  <c:v>FREQUENCY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Silhouette Techniques'!$A$2:$A$7</c:f>
              <c:strCache>
                <c:ptCount val="6"/>
                <c:pt idx="0">
                  <c:v>Gait Energy Image (GEI)</c:v>
                </c:pt>
                <c:pt idx="1">
                  <c:v>CNN</c:v>
                </c:pt>
                <c:pt idx="2">
                  <c:v>Fourier Transform</c:v>
                </c:pt>
                <c:pt idx="3">
                  <c:v>Depth Human Silhouettes</c:v>
                </c:pt>
                <c:pt idx="4">
                  <c:v>Gaitset</c:v>
                </c:pt>
                <c:pt idx="5">
                  <c:v>PCA (Principal Component Analysis) training</c:v>
                </c:pt>
              </c:strCache>
            </c:strRef>
          </c:cat>
          <c:val>
            <c:numRef>
              <c:f>'Final Silhouette Techniques'!$B$2:$B$7</c:f>
              <c:numCache>
                <c:formatCode>General</c:formatCode>
                <c:ptCount val="6"/>
                <c:pt idx="0">
                  <c:v>18</c:v>
                </c:pt>
                <c:pt idx="1">
                  <c:v>2</c:v>
                </c:pt>
                <c:pt idx="2">
                  <c:v>3</c:v>
                </c:pt>
                <c:pt idx="3">
                  <c:v>3</c:v>
                </c:pt>
                <c:pt idx="4">
                  <c:v>3</c:v>
                </c:pt>
                <c:pt idx="5">
                  <c:v>2</c:v>
                </c:pt>
              </c:numCache>
            </c:numRef>
          </c:val>
          <c:extLst>
            <c:ext xmlns:c16="http://schemas.microsoft.com/office/drawing/2014/chart" uri="{C3380CC4-5D6E-409C-BE32-E72D297353CC}">
              <c16:uniqueId val="{00000000-4CBD-4E9E-8DAC-26AB814008E7}"/>
            </c:ext>
          </c:extLst>
        </c:ser>
        <c:dLbls>
          <c:showLegendKey val="0"/>
          <c:showVal val="0"/>
          <c:showCatName val="0"/>
          <c:showSerName val="0"/>
          <c:showPercent val="0"/>
          <c:showBubbleSize val="0"/>
        </c:dLbls>
        <c:gapWidth val="100"/>
        <c:overlap val="-24"/>
        <c:axId val="771455696"/>
        <c:axId val="771457616"/>
      </c:barChart>
      <c:catAx>
        <c:axId val="771455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457616"/>
        <c:crosses val="autoZero"/>
        <c:auto val="1"/>
        <c:lblAlgn val="ctr"/>
        <c:lblOffset val="100"/>
        <c:noMultiLvlLbl val="0"/>
      </c:catAx>
      <c:valAx>
        <c:axId val="77145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455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'Final Silhouette Techniques'!$B$1</c:f>
              <c:strCache>
                <c:ptCount val="1"/>
                <c:pt idx="0">
                  <c:v>FREQUENCY </c:v>
                </c:pt>
              </c:strCache>
            </c:strRef>
          </c:tx>
          <c:spPr>
            <a:solidFill>
              <a:schemeClr val="accent1"/>
            </a:solidFill>
            <a:ln>
              <a:noFill/>
            </a:ln>
            <a:effectLst/>
          </c:spPr>
          <c:invertIfNegative val="0"/>
          <c:cat>
            <c:strRef>
              <c:extLst>
                <c:ext xmlns:c15="http://schemas.microsoft.com/office/drawing/2012/chart" uri="{02D57815-91ED-43cb-92C2-25804820EDAC}">
                  <c15:fullRef>
                    <c15:sqref>'Final Silhouette Techniques'!$A$2:$A$55</c15:sqref>
                  </c15:fullRef>
                </c:ext>
              </c:extLst>
              <c:f>('Final Silhouette Techniques'!$A$2,'Final Silhouette Techniques'!$A$17,'Final Silhouette Techniques'!$A$54:$A$55)</c:f>
              <c:strCache>
                <c:ptCount val="4"/>
                <c:pt idx="0">
                  <c:v>Gait Energy Image (GEI)</c:v>
                </c:pt>
                <c:pt idx="1">
                  <c:v>Gait Entropy Image (GEnI)</c:v>
                </c:pt>
                <c:pt idx="2">
                  <c:v>Gait Flow Image </c:v>
                </c:pt>
                <c:pt idx="3">
                  <c:v>Motion Image Silhouette </c:v>
                </c:pt>
              </c:strCache>
            </c:strRef>
          </c:cat>
          <c:val>
            <c:numRef>
              <c:extLst>
                <c:ext xmlns:c15="http://schemas.microsoft.com/office/drawing/2012/chart" uri="{02D57815-91ED-43cb-92C2-25804820EDAC}">
                  <c15:fullRef>
                    <c15:sqref>'Final Silhouette Techniques'!$B$2:$B$55</c15:sqref>
                  </c15:fullRef>
                </c:ext>
              </c:extLst>
              <c:f>('Final Silhouette Techniques'!$B$2,'Final Silhouette Techniques'!$B$17,'Final Silhouette Techniques'!$B$54:$B$55)</c:f>
              <c:numCache>
                <c:formatCode>General</c:formatCode>
                <c:ptCount val="4"/>
                <c:pt idx="0">
                  <c:v>18</c:v>
                </c:pt>
                <c:pt idx="1">
                  <c:v>4</c:v>
                </c:pt>
                <c:pt idx="2">
                  <c:v>5</c:v>
                </c:pt>
                <c:pt idx="3">
                  <c:v>3</c:v>
                </c:pt>
              </c:numCache>
            </c:numRef>
          </c:val>
          <c:extLst>
            <c:ext xmlns:c16="http://schemas.microsoft.com/office/drawing/2014/chart" uri="{C3380CC4-5D6E-409C-BE32-E72D297353CC}">
              <c16:uniqueId val="{00000000-A22E-4724-AF0D-D75AEFEB8D38}"/>
            </c:ext>
          </c:extLst>
        </c:ser>
        <c:dLbls>
          <c:showLegendKey val="0"/>
          <c:showVal val="0"/>
          <c:showCatName val="0"/>
          <c:showSerName val="0"/>
          <c:showPercent val="0"/>
          <c:showBubbleSize val="0"/>
        </c:dLbls>
        <c:gapWidth val="182"/>
        <c:axId val="1228346511"/>
        <c:axId val="1228336431"/>
      </c:barChart>
      <c:catAx>
        <c:axId val="122834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36431"/>
        <c:crosses val="autoZero"/>
        <c:auto val="1"/>
        <c:lblAlgn val="ctr"/>
        <c:lblOffset val="100"/>
        <c:noMultiLvlLbl val="0"/>
      </c:catAx>
      <c:valAx>
        <c:axId val="1228336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46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190499</xdr:colOff>
      <xdr:row>2</xdr:row>
      <xdr:rowOff>152400</xdr:rowOff>
    </xdr:from>
    <xdr:to>
      <xdr:col>14</xdr:col>
      <xdr:colOff>514350</xdr:colOff>
      <xdr:row>21</xdr:row>
      <xdr:rowOff>152400</xdr:rowOff>
    </xdr:to>
    <xdr:graphicFrame macro="">
      <xdr:nvGraphicFramePr>
        <xdr:cNvPr id="4" name="Chart 3">
          <a:extLst>
            <a:ext uri="{FF2B5EF4-FFF2-40B4-BE49-F238E27FC236}">
              <a16:creationId xmlns:a16="http://schemas.microsoft.com/office/drawing/2014/main" id="{117ACBDA-EDF0-F1A9-9D6B-F1FD44AF4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285751</xdr:colOff>
      <xdr:row>43</xdr:row>
      <xdr:rowOff>63501</xdr:rowOff>
    </xdr:from>
    <xdr:to>
      <xdr:col>9</xdr:col>
      <xdr:colOff>127001</xdr:colOff>
      <xdr:row>59</xdr:row>
      <xdr:rowOff>125413</xdr:rowOff>
    </xdr:to>
    <xdr:graphicFrame macro="">
      <xdr:nvGraphicFramePr>
        <xdr:cNvPr id="2" name="Chart 1">
          <a:extLst>
            <a:ext uri="{FF2B5EF4-FFF2-40B4-BE49-F238E27FC236}">
              <a16:creationId xmlns:a16="http://schemas.microsoft.com/office/drawing/2014/main" id="{0C84BA59-703F-F280-78B1-DC0F43A81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7589-9AB0-437D-803D-0DD2AEB219D1}">
  <sheetPr codeName="Sheet1"/>
  <dimension ref="A1:J90"/>
  <sheetViews>
    <sheetView topLeftCell="A97" zoomScale="103" workbookViewId="0">
      <selection activeCell="C89" sqref="C89"/>
    </sheetView>
  </sheetViews>
  <sheetFormatPr defaultColWidth="29.140625" defaultRowHeight="15" x14ac:dyDescent="0.25"/>
  <cols>
    <col min="1" max="1" width="37.28515625" style="3" customWidth="1"/>
    <col min="2" max="2" width="40" style="3" customWidth="1"/>
    <col min="3" max="3" width="43" style="3" customWidth="1"/>
    <col min="4" max="4" width="46.7109375" style="3" customWidth="1"/>
    <col min="6" max="6" width="32.140625" style="3" customWidth="1"/>
  </cols>
  <sheetData>
    <row r="1" spans="1:10" ht="48.75" customHeight="1" x14ac:dyDescent="0.35">
      <c r="A1" s="4" t="s">
        <v>0</v>
      </c>
      <c r="B1" s="4" t="s">
        <v>1</v>
      </c>
      <c r="C1" s="4" t="s">
        <v>2</v>
      </c>
      <c r="D1" s="4" t="s">
        <v>3</v>
      </c>
      <c r="E1" s="5" t="s">
        <v>4</v>
      </c>
      <c r="F1" s="4" t="s">
        <v>5</v>
      </c>
    </row>
    <row r="2" spans="1:10" s="9" customFormat="1" ht="90" x14ac:dyDescent="0.25">
      <c r="A2" s="8" t="s">
        <v>45</v>
      </c>
      <c r="B2" s="8" t="s">
        <v>46</v>
      </c>
      <c r="C2" s="8" t="s">
        <v>47</v>
      </c>
      <c r="D2" s="8" t="s">
        <v>48</v>
      </c>
      <c r="E2" s="9">
        <v>2021</v>
      </c>
      <c r="F2" s="8" t="s">
        <v>36</v>
      </c>
      <c r="I2" s="8" t="s">
        <v>49</v>
      </c>
    </row>
    <row r="3" spans="1:10" s="9" customFormat="1" ht="45" x14ac:dyDescent="0.25">
      <c r="A3" s="8" t="s">
        <v>54</v>
      </c>
      <c r="B3" s="8" t="s">
        <v>55</v>
      </c>
      <c r="C3" s="8" t="s">
        <v>56</v>
      </c>
      <c r="D3" s="8" t="s">
        <v>57</v>
      </c>
      <c r="E3" s="9">
        <v>2018</v>
      </c>
      <c r="F3" s="8" t="s">
        <v>58</v>
      </c>
    </row>
    <row r="4" spans="1:10" s="9" customFormat="1" ht="105" x14ac:dyDescent="0.25">
      <c r="A4" s="10" t="s">
        <v>99</v>
      </c>
      <c r="B4" s="8" t="s">
        <v>100</v>
      </c>
      <c r="C4" s="8" t="s">
        <v>101</v>
      </c>
      <c r="D4" s="8" t="s">
        <v>102</v>
      </c>
      <c r="E4" s="9">
        <v>2017</v>
      </c>
      <c r="F4" s="8" t="s">
        <v>36</v>
      </c>
      <c r="I4" s="8"/>
      <c r="J4" s="8" t="s">
        <v>103</v>
      </c>
    </row>
    <row r="5" spans="1:10" s="9" customFormat="1" ht="45" x14ac:dyDescent="0.25">
      <c r="A5" s="8" t="s">
        <v>59</v>
      </c>
      <c r="B5" s="8" t="s">
        <v>60</v>
      </c>
      <c r="C5" s="8" t="s">
        <v>61</v>
      </c>
      <c r="D5" s="8" t="s">
        <v>62</v>
      </c>
      <c r="E5" s="9">
        <v>2018</v>
      </c>
      <c r="F5" s="8" t="s">
        <v>63</v>
      </c>
    </row>
    <row r="6" spans="1:10" s="9" customFormat="1" ht="60" x14ac:dyDescent="0.25">
      <c r="A6" s="8" t="s">
        <v>70</v>
      </c>
      <c r="B6" s="8" t="s">
        <v>168</v>
      </c>
      <c r="C6" s="8" t="s">
        <v>72</v>
      </c>
      <c r="D6" s="8" t="s">
        <v>73</v>
      </c>
      <c r="E6" s="9">
        <v>2020</v>
      </c>
      <c r="F6" s="8" t="s">
        <v>71</v>
      </c>
    </row>
    <row r="7" spans="1:10" s="9" customFormat="1" ht="60" x14ac:dyDescent="0.25">
      <c r="A7" s="11" t="s">
        <v>64</v>
      </c>
      <c r="B7" s="8" t="s">
        <v>65</v>
      </c>
      <c r="C7" s="8" t="s">
        <v>66</v>
      </c>
      <c r="D7" s="8" t="s">
        <v>67</v>
      </c>
      <c r="E7" s="9">
        <v>2022</v>
      </c>
      <c r="F7" s="8" t="s">
        <v>68</v>
      </c>
      <c r="I7" s="9" t="s">
        <v>69</v>
      </c>
    </row>
    <row r="8" spans="1:10" s="9" customFormat="1" ht="45" x14ac:dyDescent="0.25">
      <c r="A8" s="11" t="s">
        <v>87</v>
      </c>
      <c r="B8" s="8" t="s">
        <v>89</v>
      </c>
      <c r="C8" s="8" t="s">
        <v>90</v>
      </c>
      <c r="D8" s="8" t="s">
        <v>88</v>
      </c>
      <c r="E8" s="9">
        <v>2015</v>
      </c>
      <c r="F8" s="8" t="s">
        <v>36</v>
      </c>
    </row>
    <row r="9" spans="1:10" s="9" customFormat="1" ht="60" x14ac:dyDescent="0.25">
      <c r="A9" s="8" t="s">
        <v>83</v>
      </c>
      <c r="B9" s="8" t="s">
        <v>84</v>
      </c>
      <c r="C9" s="8" t="s">
        <v>85</v>
      </c>
      <c r="D9" s="8" t="s">
        <v>86</v>
      </c>
      <c r="E9" s="9">
        <v>2015</v>
      </c>
      <c r="F9" s="8" t="s">
        <v>36</v>
      </c>
    </row>
    <row r="10" spans="1:10" s="9" customFormat="1" ht="30" x14ac:dyDescent="0.25">
      <c r="A10" s="8" t="s">
        <v>31</v>
      </c>
      <c r="B10" s="8" t="s">
        <v>531</v>
      </c>
      <c r="C10" s="8" t="s">
        <v>29</v>
      </c>
      <c r="D10" s="8" t="s">
        <v>28</v>
      </c>
      <c r="E10" s="9">
        <v>2020</v>
      </c>
      <c r="F10" s="8" t="s">
        <v>30</v>
      </c>
    </row>
    <row r="11" spans="1:10" s="9" customFormat="1" ht="60" x14ac:dyDescent="0.25">
      <c r="A11" s="8" t="s">
        <v>19</v>
      </c>
      <c r="B11" s="8" t="s">
        <v>18</v>
      </c>
      <c r="C11" s="8" t="s">
        <v>20</v>
      </c>
      <c r="D11" s="8" t="s">
        <v>21</v>
      </c>
      <c r="E11" s="9">
        <v>2021</v>
      </c>
      <c r="F11" s="12" t="s">
        <v>22</v>
      </c>
    </row>
    <row r="12" spans="1:10" s="9" customFormat="1" ht="45" x14ac:dyDescent="0.25">
      <c r="A12" s="8" t="s">
        <v>24</v>
      </c>
      <c r="B12" s="8" t="s">
        <v>23</v>
      </c>
      <c r="C12" s="8" t="s">
        <v>25</v>
      </c>
      <c r="D12" s="8" t="s">
        <v>26</v>
      </c>
      <c r="E12" s="9">
        <v>2016</v>
      </c>
      <c r="F12" s="8" t="s">
        <v>27</v>
      </c>
    </row>
    <row r="13" spans="1:10" s="9" customFormat="1" ht="45" x14ac:dyDescent="0.25">
      <c r="A13" s="8" t="s">
        <v>32</v>
      </c>
      <c r="B13" s="8" t="s">
        <v>33</v>
      </c>
      <c r="C13" s="8" t="s">
        <v>34</v>
      </c>
      <c r="D13" s="8" t="s">
        <v>35</v>
      </c>
      <c r="E13" s="9">
        <v>2016</v>
      </c>
      <c r="F13" s="8" t="s">
        <v>36</v>
      </c>
    </row>
    <row r="14" spans="1:10" s="9" customFormat="1" ht="60" x14ac:dyDescent="0.25">
      <c r="A14" s="11" t="s">
        <v>37</v>
      </c>
      <c r="B14" s="8" t="s">
        <v>38</v>
      </c>
      <c r="C14" s="8" t="s">
        <v>39</v>
      </c>
      <c r="D14" s="8" t="s">
        <v>40</v>
      </c>
      <c r="E14" s="9">
        <v>2022</v>
      </c>
      <c r="F14" s="8" t="s">
        <v>36</v>
      </c>
    </row>
    <row r="15" spans="1:10" s="9" customFormat="1" ht="90" x14ac:dyDescent="0.25">
      <c r="A15" s="8" t="s">
        <v>44</v>
      </c>
      <c r="B15" s="8" t="s">
        <v>41</v>
      </c>
      <c r="C15" s="8" t="s">
        <v>42</v>
      </c>
      <c r="D15" s="8" t="s">
        <v>16</v>
      </c>
      <c r="E15" s="9">
        <v>2016</v>
      </c>
      <c r="F15" s="8" t="s">
        <v>43</v>
      </c>
    </row>
    <row r="16" spans="1:10" s="9" customFormat="1" ht="75" x14ac:dyDescent="0.25">
      <c r="A16" s="8" t="s">
        <v>50</v>
      </c>
      <c r="B16" s="8" t="s">
        <v>51</v>
      </c>
      <c r="C16" s="8" t="s">
        <v>52</v>
      </c>
      <c r="D16" s="8" t="s">
        <v>35</v>
      </c>
      <c r="E16" s="9">
        <v>2016</v>
      </c>
      <c r="F16" s="8" t="s">
        <v>53</v>
      </c>
    </row>
    <row r="17" spans="1:6" s="9" customFormat="1" ht="60" x14ac:dyDescent="0.25">
      <c r="A17" s="8" t="s">
        <v>77</v>
      </c>
      <c r="B17" s="8" t="s">
        <v>75</v>
      </c>
      <c r="C17" s="8" t="s">
        <v>74</v>
      </c>
      <c r="D17" s="8" t="s">
        <v>76</v>
      </c>
      <c r="E17" s="9">
        <v>2020</v>
      </c>
      <c r="F17" s="8" t="s">
        <v>78</v>
      </c>
    </row>
    <row r="18" spans="1:6" s="9" customFormat="1" ht="45" x14ac:dyDescent="0.25">
      <c r="A18" s="11" t="s">
        <v>79</v>
      </c>
      <c r="B18" s="8" t="s">
        <v>80</v>
      </c>
      <c r="C18" s="8" t="s">
        <v>81</v>
      </c>
      <c r="D18" s="8" t="s">
        <v>82</v>
      </c>
      <c r="E18" s="9">
        <v>2021</v>
      </c>
      <c r="F18" s="8" t="s">
        <v>36</v>
      </c>
    </row>
    <row r="19" spans="1:6" s="9" customFormat="1" ht="45" x14ac:dyDescent="0.25">
      <c r="A19" s="11" t="s">
        <v>91</v>
      </c>
      <c r="B19" s="8" t="s">
        <v>92</v>
      </c>
      <c r="C19" s="8" t="s">
        <v>93</v>
      </c>
      <c r="D19" s="8" t="s">
        <v>94</v>
      </c>
      <c r="E19" s="9">
        <v>2022</v>
      </c>
      <c r="F19" s="8" t="s">
        <v>63</v>
      </c>
    </row>
    <row r="20" spans="1:6" s="9" customFormat="1" ht="45" x14ac:dyDescent="0.25">
      <c r="A20" s="11" t="s">
        <v>95</v>
      </c>
      <c r="B20" s="8" t="s">
        <v>96</v>
      </c>
      <c r="C20" s="8" t="s">
        <v>97</v>
      </c>
      <c r="D20" s="8" t="s">
        <v>98</v>
      </c>
      <c r="E20" s="9">
        <v>2020</v>
      </c>
      <c r="F20" s="8" t="s">
        <v>36</v>
      </c>
    </row>
    <row r="21" spans="1:6" s="9" customFormat="1" ht="75" x14ac:dyDescent="0.25">
      <c r="A21" s="10" t="s">
        <v>104</v>
      </c>
      <c r="B21" s="8" t="s">
        <v>105</v>
      </c>
      <c r="C21" s="8" t="s">
        <v>106</v>
      </c>
      <c r="D21" s="8" t="s">
        <v>107</v>
      </c>
      <c r="E21" s="9">
        <v>2023</v>
      </c>
      <c r="F21" s="8" t="s">
        <v>36</v>
      </c>
    </row>
    <row r="22" spans="1:6" s="9" customFormat="1" ht="90" x14ac:dyDescent="0.25">
      <c r="A22" s="10" t="s">
        <v>108</v>
      </c>
      <c r="B22" s="8" t="s">
        <v>109</v>
      </c>
      <c r="C22" s="8" t="s">
        <v>110</v>
      </c>
      <c r="D22" s="8" t="s">
        <v>111</v>
      </c>
      <c r="E22" s="9">
        <v>2018</v>
      </c>
      <c r="F22" s="8" t="s">
        <v>36</v>
      </c>
    </row>
    <row r="23" spans="1:6" s="9" customFormat="1" ht="45" x14ac:dyDescent="0.25">
      <c r="A23" s="8" t="s">
        <v>115</v>
      </c>
      <c r="B23" s="8" t="s">
        <v>112</v>
      </c>
      <c r="C23" s="8" t="s">
        <v>113</v>
      </c>
      <c r="D23" s="8" t="s">
        <v>114</v>
      </c>
      <c r="E23" s="9">
        <v>2021</v>
      </c>
      <c r="F23" s="8" t="s">
        <v>53</v>
      </c>
    </row>
    <row r="24" spans="1:6" s="9" customFormat="1" ht="75" x14ac:dyDescent="0.25">
      <c r="A24" s="8" t="s">
        <v>116</v>
      </c>
      <c r="B24" s="8" t="s">
        <v>117</v>
      </c>
      <c r="C24" s="8" t="s">
        <v>118</v>
      </c>
      <c r="D24" s="8" t="s">
        <v>17</v>
      </c>
      <c r="E24" s="9">
        <v>2018</v>
      </c>
      <c r="F24" s="8" t="s">
        <v>36</v>
      </c>
    </row>
    <row r="25" spans="1:6" s="9" customFormat="1" ht="45" x14ac:dyDescent="0.25">
      <c r="A25" s="8" t="s">
        <v>119</v>
      </c>
      <c r="B25" s="8" t="s">
        <v>120</v>
      </c>
      <c r="C25" s="8" t="s">
        <v>121</v>
      </c>
      <c r="D25" s="8" t="s">
        <v>123</v>
      </c>
      <c r="E25" s="9">
        <v>2022</v>
      </c>
      <c r="F25" s="8" t="s">
        <v>122</v>
      </c>
    </row>
    <row r="26" spans="1:6" s="9" customFormat="1" ht="30" x14ac:dyDescent="0.25">
      <c r="A26" s="13" t="s">
        <v>124</v>
      </c>
      <c r="B26" s="8" t="s">
        <v>125</v>
      </c>
      <c r="C26" s="8" t="s">
        <v>126</v>
      </c>
      <c r="D26" s="8" t="s">
        <v>17</v>
      </c>
      <c r="E26" s="9">
        <v>2023</v>
      </c>
      <c r="F26" s="8" t="s">
        <v>127</v>
      </c>
    </row>
    <row r="27" spans="1:6" s="9" customFormat="1" ht="45" x14ac:dyDescent="0.25">
      <c r="A27" s="8" t="s">
        <v>412</v>
      </c>
      <c r="B27" s="8" t="s">
        <v>128</v>
      </c>
      <c r="C27" s="8" t="s">
        <v>129</v>
      </c>
      <c r="D27" s="8" t="s">
        <v>17</v>
      </c>
      <c r="E27" s="9">
        <v>2023</v>
      </c>
      <c r="F27" s="8" t="s">
        <v>127</v>
      </c>
    </row>
    <row r="28" spans="1:6" s="9" customFormat="1" ht="60" x14ac:dyDescent="0.25">
      <c r="A28" s="8" t="s">
        <v>130</v>
      </c>
      <c r="B28" s="8" t="s">
        <v>131</v>
      </c>
      <c r="C28" s="8" t="s">
        <v>132</v>
      </c>
      <c r="D28" s="8" t="s">
        <v>133</v>
      </c>
      <c r="E28" s="9">
        <v>2023</v>
      </c>
      <c r="F28" s="8" t="s">
        <v>127</v>
      </c>
    </row>
    <row r="29" spans="1:6" s="9" customFormat="1" ht="90" x14ac:dyDescent="0.25">
      <c r="A29" s="8" t="s">
        <v>137</v>
      </c>
      <c r="B29" s="8" t="s">
        <v>134</v>
      </c>
      <c r="C29" s="8" t="s">
        <v>135</v>
      </c>
      <c r="D29" s="8" t="s">
        <v>136</v>
      </c>
      <c r="E29" s="9">
        <v>2023</v>
      </c>
      <c r="F29" s="8" t="s">
        <v>127</v>
      </c>
    </row>
    <row r="30" spans="1:6" s="9" customFormat="1" ht="60" x14ac:dyDescent="0.25">
      <c r="A30" s="10" t="s">
        <v>138</v>
      </c>
      <c r="B30" s="8" t="s">
        <v>139</v>
      </c>
      <c r="C30" s="8" t="s">
        <v>140</v>
      </c>
      <c r="D30" s="8" t="s">
        <v>141</v>
      </c>
      <c r="E30" s="9">
        <v>2020</v>
      </c>
      <c r="F30" s="8" t="s">
        <v>127</v>
      </c>
    </row>
    <row r="31" spans="1:6" s="9" customFormat="1" ht="45" x14ac:dyDescent="0.25">
      <c r="A31" s="10" t="s">
        <v>142</v>
      </c>
      <c r="B31" s="8" t="s">
        <v>143</v>
      </c>
      <c r="C31" s="8" t="s">
        <v>144</v>
      </c>
      <c r="D31" s="8" t="s">
        <v>17</v>
      </c>
      <c r="E31" s="9">
        <v>2018</v>
      </c>
      <c r="F31" s="8" t="s">
        <v>122</v>
      </c>
    </row>
    <row r="32" spans="1:6" s="9" customFormat="1" ht="45" x14ac:dyDescent="0.25">
      <c r="A32" s="10" t="s">
        <v>145</v>
      </c>
      <c r="B32" s="8" t="s">
        <v>146</v>
      </c>
      <c r="C32" s="8" t="s">
        <v>147</v>
      </c>
      <c r="D32" s="8" t="s">
        <v>148</v>
      </c>
      <c r="E32" s="9">
        <v>2020</v>
      </c>
      <c r="F32" s="8" t="s">
        <v>127</v>
      </c>
    </row>
    <row r="33" spans="1:6" s="9" customFormat="1" ht="45" x14ac:dyDescent="0.25">
      <c r="A33" s="10" t="s">
        <v>149</v>
      </c>
      <c r="B33" s="8" t="s">
        <v>150</v>
      </c>
      <c r="C33" s="8" t="s">
        <v>151</v>
      </c>
      <c r="D33" s="8" t="s">
        <v>152</v>
      </c>
      <c r="E33" s="9">
        <v>2018</v>
      </c>
      <c r="F33" s="8" t="s">
        <v>127</v>
      </c>
    </row>
    <row r="34" spans="1:6" s="8" customFormat="1" ht="45" x14ac:dyDescent="0.25">
      <c r="A34" s="8" t="s">
        <v>153</v>
      </c>
      <c r="B34" s="8" t="s">
        <v>154</v>
      </c>
      <c r="C34" s="8" t="s">
        <v>155</v>
      </c>
      <c r="D34" s="8" t="s">
        <v>156</v>
      </c>
      <c r="E34" s="8">
        <v>2024</v>
      </c>
      <c r="F34" s="8" t="s">
        <v>127</v>
      </c>
    </row>
    <row r="35" spans="1:6" s="9" customFormat="1" ht="60" x14ac:dyDescent="0.25">
      <c r="A35" s="8" t="s">
        <v>157</v>
      </c>
      <c r="B35" s="8" t="s">
        <v>158</v>
      </c>
      <c r="C35" s="8" t="s">
        <v>159</v>
      </c>
      <c r="D35" s="8" t="s">
        <v>160</v>
      </c>
      <c r="E35" s="9">
        <v>2020</v>
      </c>
      <c r="F35" s="8" t="s">
        <v>127</v>
      </c>
    </row>
    <row r="36" spans="1:6" s="9" customFormat="1" ht="75" x14ac:dyDescent="0.25">
      <c r="A36" s="8" t="s">
        <v>161</v>
      </c>
      <c r="B36" s="8" t="s">
        <v>162</v>
      </c>
      <c r="C36" s="8" t="s">
        <v>163</v>
      </c>
      <c r="D36" s="8" t="s">
        <v>319</v>
      </c>
      <c r="E36" s="9">
        <v>2023</v>
      </c>
      <c r="F36" s="8" t="s">
        <v>173</v>
      </c>
    </row>
    <row r="37" spans="1:6" s="9" customFormat="1" ht="60" x14ac:dyDescent="0.25">
      <c r="A37" s="8" t="s">
        <v>164</v>
      </c>
      <c r="B37" s="8" t="s">
        <v>165</v>
      </c>
      <c r="C37" s="8" t="s">
        <v>166</v>
      </c>
      <c r="D37" s="8" t="s">
        <v>167</v>
      </c>
      <c r="E37" s="9">
        <v>2020</v>
      </c>
      <c r="F37" s="8" t="s">
        <v>127</v>
      </c>
    </row>
    <row r="38" spans="1:6" s="9" customFormat="1" ht="105" x14ac:dyDescent="0.25">
      <c r="A38" s="10" t="s">
        <v>169</v>
      </c>
      <c r="B38" s="8" t="s">
        <v>170</v>
      </c>
      <c r="C38" s="8" t="s">
        <v>171</v>
      </c>
      <c r="D38" s="8" t="s">
        <v>172</v>
      </c>
      <c r="E38" s="9">
        <v>2022</v>
      </c>
      <c r="F38" s="8" t="s">
        <v>174</v>
      </c>
    </row>
    <row r="39" spans="1:6" s="9" customFormat="1" ht="90" x14ac:dyDescent="0.25">
      <c r="A39" s="8" t="s">
        <v>176</v>
      </c>
      <c r="B39" s="8" t="s">
        <v>175</v>
      </c>
      <c r="C39" s="8" t="s">
        <v>177</v>
      </c>
      <c r="D39" s="8" t="s">
        <v>178</v>
      </c>
      <c r="E39" s="9">
        <v>2023</v>
      </c>
      <c r="F39" s="8" t="s">
        <v>179</v>
      </c>
    </row>
    <row r="40" spans="1:6" s="9" customFormat="1" ht="60" x14ac:dyDescent="0.25">
      <c r="A40" s="8" t="s">
        <v>180</v>
      </c>
      <c r="B40" s="8" t="s">
        <v>181</v>
      </c>
      <c r="C40" s="8" t="s">
        <v>182</v>
      </c>
      <c r="D40" s="8" t="s">
        <v>183</v>
      </c>
      <c r="E40" s="9">
        <v>2019</v>
      </c>
      <c r="F40" s="8" t="s">
        <v>184</v>
      </c>
    </row>
    <row r="41" spans="1:6" s="9" customFormat="1" ht="30" x14ac:dyDescent="0.25">
      <c r="A41" s="8" t="s">
        <v>185</v>
      </c>
      <c r="B41" s="8" t="s">
        <v>186</v>
      </c>
      <c r="C41" s="8" t="s">
        <v>187</v>
      </c>
      <c r="D41" s="8" t="s">
        <v>188</v>
      </c>
      <c r="E41" s="9">
        <v>2018</v>
      </c>
      <c r="F41" s="8" t="s">
        <v>189</v>
      </c>
    </row>
    <row r="42" spans="1:6" s="9" customFormat="1" ht="45" x14ac:dyDescent="0.25">
      <c r="A42" s="10" t="s">
        <v>190</v>
      </c>
      <c r="B42" s="8" t="s">
        <v>191</v>
      </c>
      <c r="C42" s="8" t="s">
        <v>192</v>
      </c>
      <c r="D42" s="8" t="s">
        <v>193</v>
      </c>
      <c r="E42" s="9">
        <v>2018</v>
      </c>
      <c r="F42" s="8" t="s">
        <v>194</v>
      </c>
    </row>
    <row r="43" spans="1:6" s="9" customFormat="1" ht="45" x14ac:dyDescent="0.25">
      <c r="A43" s="8" t="s">
        <v>196</v>
      </c>
      <c r="B43" s="8" t="s">
        <v>195</v>
      </c>
      <c r="C43" s="8" t="s">
        <v>197</v>
      </c>
      <c r="D43" s="14" t="s">
        <v>17</v>
      </c>
      <c r="E43" s="9">
        <v>2023</v>
      </c>
      <c r="F43" s="8" t="s">
        <v>127</v>
      </c>
    </row>
    <row r="44" spans="1:6" s="9" customFormat="1" ht="75" x14ac:dyDescent="0.25">
      <c r="A44" s="8" t="s">
        <v>200</v>
      </c>
      <c r="B44" s="8" t="s">
        <v>199</v>
      </c>
      <c r="C44" s="8" t="s">
        <v>198</v>
      </c>
      <c r="D44" s="8" t="s">
        <v>201</v>
      </c>
      <c r="E44" s="9">
        <v>2015</v>
      </c>
      <c r="F44" s="8" t="s">
        <v>202</v>
      </c>
    </row>
    <row r="45" spans="1:6" s="9" customFormat="1" ht="75" x14ac:dyDescent="0.25">
      <c r="A45" s="8" t="s">
        <v>320</v>
      </c>
      <c r="B45" s="8" t="s">
        <v>203</v>
      </c>
      <c r="C45" s="8" t="s">
        <v>204</v>
      </c>
      <c r="D45" s="8" t="s">
        <v>205</v>
      </c>
      <c r="E45" s="9">
        <v>2023</v>
      </c>
      <c r="F45" s="8" t="s">
        <v>174</v>
      </c>
    </row>
    <row r="46" spans="1:6" s="9" customFormat="1" ht="60" x14ac:dyDescent="0.25">
      <c r="A46" s="8" t="s">
        <v>206</v>
      </c>
      <c r="B46" s="8" t="s">
        <v>208</v>
      </c>
      <c r="C46" s="8" t="s">
        <v>207</v>
      </c>
      <c r="D46" s="8" t="s">
        <v>209</v>
      </c>
      <c r="E46" s="9">
        <v>2021</v>
      </c>
      <c r="F46" s="8" t="s">
        <v>210</v>
      </c>
    </row>
    <row r="47" spans="1:6" s="9" customFormat="1" ht="90" x14ac:dyDescent="0.25">
      <c r="A47" s="8" t="s">
        <v>176</v>
      </c>
      <c r="B47" s="8" t="s">
        <v>211</v>
      </c>
      <c r="C47" s="8" t="s">
        <v>212</v>
      </c>
      <c r="D47" s="8" t="s">
        <v>213</v>
      </c>
      <c r="E47" s="9">
        <v>2023</v>
      </c>
      <c r="F47" s="8" t="s">
        <v>174</v>
      </c>
    </row>
    <row r="48" spans="1:6" s="7" customFormat="1" ht="75" x14ac:dyDescent="0.25">
      <c r="B48" s="6" t="s">
        <v>214</v>
      </c>
      <c r="C48" s="6" t="s">
        <v>215</v>
      </c>
      <c r="D48" s="6" t="s">
        <v>216</v>
      </c>
      <c r="E48" s="7">
        <v>2017</v>
      </c>
      <c r="F48" s="6" t="s">
        <v>217</v>
      </c>
    </row>
    <row r="49" spans="1:6" s="9" customFormat="1" ht="30" x14ac:dyDescent="0.25">
      <c r="A49" s="10" t="s">
        <v>269</v>
      </c>
      <c r="B49" s="8" t="s">
        <v>218</v>
      </c>
      <c r="C49" s="8" t="s">
        <v>219</v>
      </c>
      <c r="D49" s="8"/>
      <c r="E49" s="9">
        <v>2016</v>
      </c>
      <c r="F49" s="8" t="s">
        <v>220</v>
      </c>
    </row>
    <row r="50" spans="1:6" s="9" customFormat="1" ht="60" x14ac:dyDescent="0.25">
      <c r="A50" s="10" t="s">
        <v>270</v>
      </c>
      <c r="B50" s="8" t="s">
        <v>221</v>
      </c>
      <c r="C50" s="8" t="s">
        <v>222</v>
      </c>
      <c r="D50" s="8" t="s">
        <v>17</v>
      </c>
      <c r="E50" s="9">
        <v>2019</v>
      </c>
      <c r="F50" s="9" t="s">
        <v>223</v>
      </c>
    </row>
    <row r="51" spans="1:6" s="9" customFormat="1" ht="60" x14ac:dyDescent="0.25">
      <c r="A51" s="10" t="s">
        <v>271</v>
      </c>
      <c r="B51" s="8" t="s">
        <v>224</v>
      </c>
      <c r="C51" s="8" t="s">
        <v>225</v>
      </c>
      <c r="D51" s="8" t="s">
        <v>318</v>
      </c>
      <c r="E51" s="9">
        <v>2019</v>
      </c>
      <c r="F51" s="8" t="s">
        <v>127</v>
      </c>
    </row>
    <row r="52" spans="1:6" s="9" customFormat="1" ht="45" x14ac:dyDescent="0.25">
      <c r="A52" s="10" t="s">
        <v>119</v>
      </c>
      <c r="B52" s="8" t="s">
        <v>226</v>
      </c>
      <c r="C52" s="8" t="s">
        <v>227</v>
      </c>
      <c r="D52" s="14" t="s">
        <v>17</v>
      </c>
      <c r="E52" s="9">
        <v>2021</v>
      </c>
      <c r="F52" s="8" t="s">
        <v>223</v>
      </c>
    </row>
    <row r="53" spans="1:6" s="9" customFormat="1" ht="45" x14ac:dyDescent="0.25">
      <c r="A53" s="10" t="s">
        <v>272</v>
      </c>
      <c r="B53" s="8" t="s">
        <v>228</v>
      </c>
      <c r="C53" s="8" t="s">
        <v>229</v>
      </c>
      <c r="D53" s="8" t="s">
        <v>230</v>
      </c>
      <c r="E53" s="9">
        <v>2017</v>
      </c>
      <c r="F53" s="8" t="s">
        <v>231</v>
      </c>
    </row>
    <row r="54" spans="1:6" s="9" customFormat="1" ht="60" x14ac:dyDescent="0.25">
      <c r="A54" s="10" t="s">
        <v>273</v>
      </c>
      <c r="B54" s="8" t="s">
        <v>131</v>
      </c>
      <c r="C54" s="8" t="s">
        <v>232</v>
      </c>
      <c r="D54" s="8" t="s">
        <v>233</v>
      </c>
      <c r="E54" s="9">
        <v>2023</v>
      </c>
      <c r="F54" s="8" t="s">
        <v>234</v>
      </c>
    </row>
    <row r="55" spans="1:6" s="9" customFormat="1" ht="60" x14ac:dyDescent="0.25">
      <c r="A55" s="10" t="s">
        <v>274</v>
      </c>
      <c r="B55" s="8" t="s">
        <v>235</v>
      </c>
      <c r="C55" s="8" t="s">
        <v>236</v>
      </c>
      <c r="D55" s="8" t="s">
        <v>237</v>
      </c>
      <c r="E55" s="9">
        <v>2018</v>
      </c>
      <c r="F55" s="8" t="s">
        <v>223</v>
      </c>
    </row>
    <row r="56" spans="1:6" s="9" customFormat="1" ht="60" x14ac:dyDescent="0.25">
      <c r="A56" s="10" t="s">
        <v>275</v>
      </c>
      <c r="B56" s="8" t="s">
        <v>238</v>
      </c>
      <c r="C56" s="8" t="s">
        <v>239</v>
      </c>
      <c r="D56" s="8" t="s">
        <v>17</v>
      </c>
      <c r="F56" s="8" t="s">
        <v>240</v>
      </c>
    </row>
    <row r="57" spans="1:6" s="9" customFormat="1" ht="60" x14ac:dyDescent="0.25">
      <c r="A57" s="10" t="s">
        <v>276</v>
      </c>
      <c r="B57" s="8" t="s">
        <v>241</v>
      </c>
      <c r="C57" s="8" t="s">
        <v>242</v>
      </c>
      <c r="D57" s="8" t="s">
        <v>317</v>
      </c>
      <c r="E57" s="9">
        <v>2018</v>
      </c>
      <c r="F57" s="8" t="s">
        <v>127</v>
      </c>
    </row>
    <row r="58" spans="1:6" s="9" customFormat="1" ht="45" x14ac:dyDescent="0.25">
      <c r="A58" s="9" t="s">
        <v>277</v>
      </c>
      <c r="B58" s="8" t="s">
        <v>243</v>
      </c>
      <c r="C58" s="8" t="s">
        <v>244</v>
      </c>
      <c r="D58" s="8" t="s">
        <v>245</v>
      </c>
      <c r="E58" s="9">
        <v>2014</v>
      </c>
      <c r="F58" s="8" t="s">
        <v>246</v>
      </c>
    </row>
    <row r="59" spans="1:6" s="9" customFormat="1" ht="45" x14ac:dyDescent="0.25">
      <c r="A59" s="10" t="s">
        <v>278</v>
      </c>
      <c r="B59" s="8" t="s">
        <v>247</v>
      </c>
      <c r="C59" s="8" t="s">
        <v>248</v>
      </c>
      <c r="D59" s="8" t="s">
        <v>249</v>
      </c>
      <c r="F59" s="8" t="s">
        <v>250</v>
      </c>
    </row>
    <row r="60" spans="1:6" ht="45" x14ac:dyDescent="0.25">
      <c r="A60"/>
      <c r="B60" s="3" t="s">
        <v>251</v>
      </c>
      <c r="C60" s="3" t="s">
        <v>252</v>
      </c>
      <c r="D60" s="3" t="s">
        <v>253</v>
      </c>
      <c r="E60">
        <v>2019</v>
      </c>
      <c r="F60" s="3" t="s">
        <v>254</v>
      </c>
    </row>
    <row r="61" spans="1:6" ht="60" x14ac:dyDescent="0.25">
      <c r="A61"/>
      <c r="B61" s="3" t="s">
        <v>255</v>
      </c>
      <c r="C61" s="3" t="s">
        <v>307</v>
      </c>
      <c r="D61" s="3" t="s">
        <v>316</v>
      </c>
      <c r="E61">
        <v>2020</v>
      </c>
      <c r="F61" s="3" t="s">
        <v>254</v>
      </c>
    </row>
    <row r="62" spans="1:6" ht="105" x14ac:dyDescent="0.25">
      <c r="A62"/>
      <c r="B62" s="3" t="s">
        <v>256</v>
      </c>
      <c r="C62" s="3" t="s">
        <v>257</v>
      </c>
      <c r="D62" s="3" t="s">
        <v>258</v>
      </c>
      <c r="E62">
        <v>2021</v>
      </c>
      <c r="F62" s="3" t="s">
        <v>259</v>
      </c>
    </row>
    <row r="63" spans="1:6" ht="45" x14ac:dyDescent="0.25">
      <c r="A63"/>
      <c r="B63" s="3" t="s">
        <v>260</v>
      </c>
      <c r="C63" s="3" t="s">
        <v>261</v>
      </c>
      <c r="D63" s="3" t="s">
        <v>233</v>
      </c>
      <c r="E63">
        <v>2019</v>
      </c>
      <c r="F63" s="3" t="s">
        <v>262</v>
      </c>
    </row>
    <row r="64" spans="1:6" s="9" customFormat="1" ht="60" x14ac:dyDescent="0.25">
      <c r="A64" s="9" t="s">
        <v>426</v>
      </c>
      <c r="B64" s="8" t="s">
        <v>263</v>
      </c>
      <c r="C64" s="8" t="s">
        <v>264</v>
      </c>
      <c r="D64" s="8" t="s">
        <v>315</v>
      </c>
      <c r="E64" s="9">
        <v>2022</v>
      </c>
      <c r="F64" s="8" t="s">
        <v>265</v>
      </c>
    </row>
    <row r="65" spans="1:6" ht="30" x14ac:dyDescent="0.25">
      <c r="A65"/>
      <c r="B65" s="3" t="s">
        <v>266</v>
      </c>
      <c r="C65" s="3" t="s">
        <v>267</v>
      </c>
      <c r="D65" s="3" t="s">
        <v>268</v>
      </c>
      <c r="F65"/>
    </row>
    <row r="66" spans="1:6" s="9" customFormat="1" ht="60" x14ac:dyDescent="0.25">
      <c r="A66" s="9" t="s">
        <v>279</v>
      </c>
      <c r="B66" s="8" t="s">
        <v>280</v>
      </c>
      <c r="C66" s="8" t="s">
        <v>281</v>
      </c>
      <c r="D66" s="8" t="s">
        <v>17</v>
      </c>
      <c r="E66" s="9">
        <v>2022</v>
      </c>
      <c r="F66" s="8" t="s">
        <v>282</v>
      </c>
    </row>
    <row r="67" spans="1:6" s="9" customFormat="1" ht="90" x14ac:dyDescent="0.25">
      <c r="A67" s="9" t="s">
        <v>283</v>
      </c>
      <c r="B67" s="8" t="s">
        <v>284</v>
      </c>
      <c r="C67" s="8" t="s">
        <v>285</v>
      </c>
      <c r="D67" s="8" t="s">
        <v>17</v>
      </c>
      <c r="E67" s="9">
        <v>2023</v>
      </c>
      <c r="F67" s="8" t="s">
        <v>286</v>
      </c>
    </row>
    <row r="68" spans="1:6" s="9" customFormat="1" ht="75" x14ac:dyDescent="0.25">
      <c r="A68" s="9" t="s">
        <v>287</v>
      </c>
      <c r="B68" s="8" t="s">
        <v>288</v>
      </c>
      <c r="C68" s="8" t="s">
        <v>289</v>
      </c>
      <c r="D68" s="8" t="s">
        <v>17</v>
      </c>
      <c r="E68" s="9">
        <v>2022</v>
      </c>
      <c r="F68" s="8" t="s">
        <v>290</v>
      </c>
    </row>
    <row r="69" spans="1:6" s="9" customFormat="1" ht="45" x14ac:dyDescent="0.25">
      <c r="A69" s="9" t="s">
        <v>291</v>
      </c>
      <c r="B69" s="8" t="s">
        <v>292</v>
      </c>
      <c r="C69" s="8" t="s">
        <v>293</v>
      </c>
      <c r="D69" s="8" t="s">
        <v>294</v>
      </c>
      <c r="E69" s="9">
        <v>2015</v>
      </c>
      <c r="F69" s="8" t="s">
        <v>295</v>
      </c>
    </row>
    <row r="70" spans="1:6" s="9" customFormat="1" ht="60" x14ac:dyDescent="0.25">
      <c r="A70" s="9" t="s">
        <v>296</v>
      </c>
      <c r="B70" s="8" t="s">
        <v>297</v>
      </c>
      <c r="C70" s="8" t="s">
        <v>298</v>
      </c>
      <c r="D70" s="8" t="s">
        <v>17</v>
      </c>
      <c r="E70" s="9">
        <v>2020</v>
      </c>
      <c r="F70" s="8" t="s">
        <v>299</v>
      </c>
    </row>
    <row r="71" spans="1:6" s="9" customFormat="1" ht="45" x14ac:dyDescent="0.25">
      <c r="A71" s="9" t="s">
        <v>300</v>
      </c>
      <c r="B71" s="8" t="s">
        <v>432</v>
      </c>
      <c r="C71" s="8" t="s">
        <v>301</v>
      </c>
      <c r="D71" s="8" t="s">
        <v>302</v>
      </c>
      <c r="E71" s="9">
        <v>2019</v>
      </c>
      <c r="F71" s="8" t="s">
        <v>303</v>
      </c>
    </row>
    <row r="72" spans="1:6" s="15" customFormat="1" ht="45" x14ac:dyDescent="0.25">
      <c r="A72" s="15" t="s">
        <v>304</v>
      </c>
      <c r="B72" s="16" t="s">
        <v>305</v>
      </c>
      <c r="C72" s="16" t="s">
        <v>306</v>
      </c>
      <c r="D72" s="16" t="s">
        <v>17</v>
      </c>
      <c r="E72" s="15">
        <v>2020</v>
      </c>
      <c r="F72" s="16" t="s">
        <v>127</v>
      </c>
    </row>
    <row r="74" spans="1:6" ht="105" x14ac:dyDescent="0.25">
      <c r="A74" s="3" t="s">
        <v>436</v>
      </c>
      <c r="B74" s="3" t="s">
        <v>434</v>
      </c>
      <c r="C74" s="3" t="s">
        <v>435</v>
      </c>
      <c r="D74" s="3" t="s">
        <v>6</v>
      </c>
      <c r="E74">
        <v>2024</v>
      </c>
      <c r="F74" s="3" t="s">
        <v>36</v>
      </c>
    </row>
    <row r="75" spans="1:6" ht="75" x14ac:dyDescent="0.25">
      <c r="A75" s="3" t="s">
        <v>437</v>
      </c>
      <c r="B75" s="3" t="s">
        <v>532</v>
      </c>
      <c r="C75" s="3" t="s">
        <v>438</v>
      </c>
      <c r="D75" s="3" t="s">
        <v>6</v>
      </c>
      <c r="E75">
        <v>2017</v>
      </c>
      <c r="F75" s="3" t="s">
        <v>439</v>
      </c>
    </row>
    <row r="76" spans="1:6" ht="105" x14ac:dyDescent="0.25">
      <c r="A76" s="3" t="s">
        <v>440</v>
      </c>
      <c r="B76" s="3" t="s">
        <v>441</v>
      </c>
      <c r="C76" s="3" t="s">
        <v>442</v>
      </c>
      <c r="D76" s="3" t="s">
        <v>6</v>
      </c>
      <c r="E76">
        <v>2017</v>
      </c>
      <c r="F76" s="3" t="s">
        <v>443</v>
      </c>
    </row>
    <row r="78" spans="1:6" ht="105" x14ac:dyDescent="0.25">
      <c r="A78" s="3" t="s">
        <v>466</v>
      </c>
      <c r="B78" s="3" t="s">
        <v>468</v>
      </c>
      <c r="C78" s="3" t="s">
        <v>467</v>
      </c>
      <c r="D78" s="3" t="s">
        <v>465</v>
      </c>
      <c r="E78">
        <v>2014</v>
      </c>
      <c r="F78" s="3" t="s">
        <v>469</v>
      </c>
    </row>
    <row r="80" spans="1:6" ht="90" x14ac:dyDescent="0.25">
      <c r="A80" s="3" t="s">
        <v>479</v>
      </c>
      <c r="B80" s="3" t="s">
        <v>476</v>
      </c>
      <c r="C80" s="3" t="s">
        <v>475</v>
      </c>
      <c r="D80" s="3" t="s">
        <v>477</v>
      </c>
      <c r="E80">
        <v>2018</v>
      </c>
      <c r="F80" s="3" t="s">
        <v>478</v>
      </c>
    </row>
    <row r="81" spans="1:6" ht="60" x14ac:dyDescent="0.25">
      <c r="A81" s="3" t="s">
        <v>483</v>
      </c>
      <c r="B81" s="3" t="s">
        <v>480</v>
      </c>
      <c r="C81" s="3" t="s">
        <v>481</v>
      </c>
      <c r="D81" s="3" t="s">
        <v>477</v>
      </c>
      <c r="E81">
        <v>2023</v>
      </c>
      <c r="F81" s="3" t="s">
        <v>482</v>
      </c>
    </row>
    <row r="82" spans="1:6" ht="45" x14ac:dyDescent="0.25">
      <c r="A82" s="3" t="s">
        <v>487</v>
      </c>
      <c r="B82" s="3" t="s">
        <v>484</v>
      </c>
      <c r="C82" s="3" t="s">
        <v>485</v>
      </c>
      <c r="D82" s="3" t="s">
        <v>477</v>
      </c>
      <c r="E82">
        <v>2014</v>
      </c>
      <c r="F82" s="3" t="s">
        <v>486</v>
      </c>
    </row>
    <row r="83" spans="1:6" ht="45" x14ac:dyDescent="0.25">
      <c r="A83" s="3" t="s">
        <v>513</v>
      </c>
      <c r="B83" s="3" t="s">
        <v>488</v>
      </c>
      <c r="C83" s="3" t="s">
        <v>489</v>
      </c>
      <c r="D83" s="3" t="s">
        <v>477</v>
      </c>
      <c r="E83">
        <v>2015</v>
      </c>
      <c r="F83" s="3" t="s">
        <v>490</v>
      </c>
    </row>
    <row r="84" spans="1:6" ht="45" x14ac:dyDescent="0.25">
      <c r="A84" s="3" t="s">
        <v>512</v>
      </c>
      <c r="B84" s="3" t="s">
        <v>492</v>
      </c>
      <c r="C84" s="3" t="s">
        <v>493</v>
      </c>
      <c r="D84" s="3" t="s">
        <v>477</v>
      </c>
      <c r="E84">
        <v>2016</v>
      </c>
      <c r="F84" s="3" t="s">
        <v>494</v>
      </c>
    </row>
    <row r="86" spans="1:6" ht="90" x14ac:dyDescent="0.25">
      <c r="A86" s="3" t="s">
        <v>507</v>
      </c>
      <c r="B86" s="3" t="s">
        <v>503</v>
      </c>
      <c r="C86" s="3" t="s">
        <v>504</v>
      </c>
      <c r="D86" s="3" t="s">
        <v>505</v>
      </c>
      <c r="E86">
        <v>2024</v>
      </c>
      <c r="F86" s="3" t="s">
        <v>506</v>
      </c>
    </row>
    <row r="87" spans="1:6" ht="75" x14ac:dyDescent="0.25">
      <c r="A87" s="3" t="s">
        <v>511</v>
      </c>
      <c r="B87" s="3" t="s">
        <v>508</v>
      </c>
      <c r="C87" s="3" t="s">
        <v>509</v>
      </c>
      <c r="D87" s="3" t="s">
        <v>505</v>
      </c>
      <c r="E87">
        <v>2024</v>
      </c>
      <c r="F87" s="3" t="s">
        <v>510</v>
      </c>
    </row>
    <row r="88" spans="1:6" ht="60" x14ac:dyDescent="0.25">
      <c r="A88" s="3" t="s">
        <v>517</v>
      </c>
      <c r="B88" s="3" t="s">
        <v>514</v>
      </c>
      <c r="C88" s="3" t="s">
        <v>515</v>
      </c>
      <c r="D88" s="3" t="s">
        <v>505</v>
      </c>
      <c r="E88">
        <v>2024</v>
      </c>
      <c r="F88" s="3" t="s">
        <v>516</v>
      </c>
    </row>
    <row r="89" spans="1:6" ht="45" x14ac:dyDescent="0.25">
      <c r="A89" s="3" t="s">
        <v>521</v>
      </c>
      <c r="B89" s="3" t="s">
        <v>518</v>
      </c>
      <c r="C89" s="3" t="s">
        <v>519</v>
      </c>
      <c r="D89" s="3" t="s">
        <v>505</v>
      </c>
      <c r="E89">
        <v>2024</v>
      </c>
      <c r="F89" s="3" t="s">
        <v>520</v>
      </c>
    </row>
    <row r="90" spans="1:6" ht="105" x14ac:dyDescent="0.25">
      <c r="A90" s="3" t="s">
        <v>524</v>
      </c>
      <c r="B90" s="3" t="s">
        <v>522</v>
      </c>
      <c r="C90" s="3" t="s">
        <v>523</v>
      </c>
      <c r="D90" s="3" t="s">
        <v>505</v>
      </c>
      <c r="E90">
        <v>2024</v>
      </c>
      <c r="F90" s="3" t="s">
        <v>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D8DC-3301-4D82-A7FF-2309712A8D84}">
  <dimension ref="A1:E48"/>
  <sheetViews>
    <sheetView topLeftCell="A30" workbookViewId="0">
      <selection activeCell="C7" sqref="C7"/>
    </sheetView>
  </sheetViews>
  <sheetFormatPr defaultRowHeight="15" x14ac:dyDescent="0.25"/>
  <cols>
    <col min="1" max="1" width="26.85546875" style="19" customWidth="1"/>
    <col min="2" max="2" width="51.28515625" style="18" customWidth="1"/>
    <col min="3" max="3" width="28.7109375" style="19" customWidth="1"/>
    <col min="5" max="5" width="71.28515625" customWidth="1"/>
  </cols>
  <sheetData>
    <row r="1" spans="1:5" ht="31.5" x14ac:dyDescent="0.5">
      <c r="A1" s="26" t="s">
        <v>340</v>
      </c>
      <c r="B1" s="26"/>
      <c r="C1" s="26"/>
      <c r="D1" s="22"/>
      <c r="E1" s="22"/>
    </row>
    <row r="2" spans="1:5" ht="15.75" x14ac:dyDescent="0.25">
      <c r="A2" s="20" t="s">
        <v>415</v>
      </c>
      <c r="B2" s="21" t="s">
        <v>413</v>
      </c>
      <c r="C2" s="20" t="s">
        <v>414</v>
      </c>
    </row>
    <row r="3" spans="1:5" ht="75" x14ac:dyDescent="0.25">
      <c r="A3" s="19" t="s">
        <v>353</v>
      </c>
      <c r="B3" s="18" t="s">
        <v>429</v>
      </c>
      <c r="C3" s="19">
        <v>13</v>
      </c>
    </row>
    <row r="4" spans="1:5" ht="30" x14ac:dyDescent="0.25">
      <c r="A4" s="19" t="s">
        <v>418</v>
      </c>
      <c r="B4" s="18" t="s">
        <v>427</v>
      </c>
      <c r="C4" s="19">
        <v>5</v>
      </c>
    </row>
    <row r="5" spans="1:5" ht="45" x14ac:dyDescent="0.25">
      <c r="A5" s="19" t="s">
        <v>417</v>
      </c>
      <c r="B5" s="18" t="s">
        <v>430</v>
      </c>
      <c r="C5" s="19">
        <v>7</v>
      </c>
    </row>
    <row r="6" spans="1:5" x14ac:dyDescent="0.25">
      <c r="A6" s="19" t="s">
        <v>377</v>
      </c>
      <c r="B6" s="18" t="s">
        <v>196</v>
      </c>
      <c r="C6" s="19">
        <v>1</v>
      </c>
    </row>
    <row r="7" spans="1:5" ht="30" x14ac:dyDescent="0.25">
      <c r="A7" s="19" t="s">
        <v>425</v>
      </c>
      <c r="B7" s="18" t="s">
        <v>428</v>
      </c>
      <c r="C7" s="19">
        <v>3</v>
      </c>
    </row>
    <row r="10" spans="1:5" ht="60" x14ac:dyDescent="0.25">
      <c r="E10" s="3" t="s">
        <v>446</v>
      </c>
    </row>
    <row r="11" spans="1:5" x14ac:dyDescent="0.25">
      <c r="E11" s="3"/>
    </row>
    <row r="13" spans="1:5" ht="31.5" x14ac:dyDescent="0.5">
      <c r="A13" s="26" t="s">
        <v>444</v>
      </c>
      <c r="B13" s="26"/>
      <c r="C13" s="26"/>
    </row>
    <row r="14" spans="1:5" ht="15.75" x14ac:dyDescent="0.25">
      <c r="A14" s="20" t="s">
        <v>415</v>
      </c>
      <c r="B14" s="20" t="s">
        <v>445</v>
      </c>
      <c r="C14" s="20" t="s">
        <v>414</v>
      </c>
    </row>
    <row r="15" spans="1:5" x14ac:dyDescent="0.25">
      <c r="A15" s="19" t="s">
        <v>447</v>
      </c>
      <c r="B15" s="18" t="s">
        <v>271</v>
      </c>
      <c r="C15" s="19">
        <v>1</v>
      </c>
      <c r="E15" s="3"/>
    </row>
    <row r="16" spans="1:5" x14ac:dyDescent="0.25">
      <c r="A16" s="19" t="s">
        <v>453</v>
      </c>
      <c r="B16" s="18" t="s">
        <v>436</v>
      </c>
      <c r="C16" s="19">
        <v>1</v>
      </c>
    </row>
    <row r="17" spans="1:4" x14ac:dyDescent="0.25">
      <c r="A17" s="19" t="s">
        <v>454</v>
      </c>
      <c r="B17" s="18" t="s">
        <v>458</v>
      </c>
      <c r="C17" s="19">
        <v>2</v>
      </c>
    </row>
    <row r="18" spans="1:4" x14ac:dyDescent="0.25">
      <c r="A18" s="19" t="s">
        <v>411</v>
      </c>
      <c r="B18" s="18" t="s">
        <v>459</v>
      </c>
      <c r="C18" s="19">
        <v>2</v>
      </c>
    </row>
    <row r="19" spans="1:4" x14ac:dyDescent="0.25">
      <c r="A19" s="19" t="s">
        <v>417</v>
      </c>
      <c r="B19" s="18" t="s">
        <v>440</v>
      </c>
      <c r="C19" s="19">
        <v>1</v>
      </c>
    </row>
    <row r="24" spans="1:4" ht="31.5" x14ac:dyDescent="0.5">
      <c r="A24" s="26" t="s">
        <v>460</v>
      </c>
      <c r="B24" s="26"/>
      <c r="C24" s="26"/>
      <c r="D24" s="22"/>
    </row>
    <row r="25" spans="1:4" ht="15.75" x14ac:dyDescent="0.25">
      <c r="A25" s="20" t="s">
        <v>415</v>
      </c>
      <c r="B25" s="20" t="s">
        <v>445</v>
      </c>
      <c r="C25" s="20" t="s">
        <v>414</v>
      </c>
    </row>
    <row r="26" spans="1:4" ht="30" x14ac:dyDescent="0.25">
      <c r="A26" s="19" t="s">
        <v>353</v>
      </c>
      <c r="B26" s="18" t="s">
        <v>471</v>
      </c>
      <c r="C26" s="19">
        <v>3</v>
      </c>
    </row>
    <row r="27" spans="1:4" ht="30" x14ac:dyDescent="0.25">
      <c r="A27" s="19" t="s">
        <v>454</v>
      </c>
      <c r="B27" s="18" t="s">
        <v>470</v>
      </c>
      <c r="C27" s="19">
        <v>3</v>
      </c>
    </row>
    <row r="28" spans="1:4" x14ac:dyDescent="0.25">
      <c r="A28" s="19" t="s">
        <v>417</v>
      </c>
      <c r="B28" s="18" t="s">
        <v>464</v>
      </c>
      <c r="C28" s="19">
        <v>2</v>
      </c>
    </row>
    <row r="34" spans="1:4" ht="31.5" x14ac:dyDescent="0.5">
      <c r="A34" s="25" t="s">
        <v>473</v>
      </c>
      <c r="B34" s="25"/>
      <c r="C34" s="25"/>
      <c r="D34" s="23"/>
    </row>
    <row r="35" spans="1:4" ht="15.75" x14ac:dyDescent="0.25">
      <c r="A35" s="20" t="s">
        <v>415</v>
      </c>
      <c r="B35" s="20" t="s">
        <v>445</v>
      </c>
      <c r="C35" s="20" t="s">
        <v>414</v>
      </c>
    </row>
    <row r="36" spans="1:4" ht="30" x14ac:dyDescent="0.25">
      <c r="A36" s="19" t="s">
        <v>353</v>
      </c>
      <c r="B36" s="18" t="s">
        <v>498</v>
      </c>
      <c r="C36" s="19">
        <v>5</v>
      </c>
    </row>
    <row r="37" spans="1:4" ht="30" x14ac:dyDescent="0.25">
      <c r="A37" s="19" t="s">
        <v>474</v>
      </c>
      <c r="B37" s="18" t="s">
        <v>499</v>
      </c>
      <c r="C37" s="19">
        <v>4</v>
      </c>
    </row>
    <row r="38" spans="1:4" x14ac:dyDescent="0.25">
      <c r="A38" s="19" t="s">
        <v>497</v>
      </c>
      <c r="B38" s="18" t="s">
        <v>491</v>
      </c>
      <c r="C38" s="19">
        <v>1</v>
      </c>
    </row>
    <row r="44" spans="1:4" ht="31.5" x14ac:dyDescent="0.5">
      <c r="A44" s="25" t="s">
        <v>525</v>
      </c>
      <c r="B44" s="25"/>
      <c r="C44" s="25"/>
    </row>
    <row r="45" spans="1:4" ht="15.75" x14ac:dyDescent="0.25">
      <c r="A45" s="20" t="s">
        <v>415</v>
      </c>
      <c r="B45" s="20" t="s">
        <v>445</v>
      </c>
      <c r="C45" s="20" t="s">
        <v>414</v>
      </c>
    </row>
    <row r="46" spans="1:4" ht="30" x14ac:dyDescent="0.25">
      <c r="A46" s="19" t="s">
        <v>353</v>
      </c>
      <c r="B46" s="18" t="s">
        <v>527</v>
      </c>
      <c r="C46" s="19">
        <v>4</v>
      </c>
    </row>
    <row r="47" spans="1:4" ht="30" x14ac:dyDescent="0.25">
      <c r="A47" s="19" t="s">
        <v>454</v>
      </c>
      <c r="B47" s="18" t="s">
        <v>528</v>
      </c>
      <c r="C47" s="19">
        <v>4</v>
      </c>
    </row>
    <row r="48" spans="1:4" ht="30" x14ac:dyDescent="0.25">
      <c r="A48" s="19" t="s">
        <v>417</v>
      </c>
      <c r="B48" s="18" t="s">
        <v>529</v>
      </c>
      <c r="C48" s="19">
        <v>3</v>
      </c>
    </row>
  </sheetData>
  <mergeCells count="5">
    <mergeCell ref="A44:C44"/>
    <mergeCell ref="A13:C13"/>
    <mergeCell ref="A1:C1"/>
    <mergeCell ref="A24:C24"/>
    <mergeCell ref="A34:C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86A2-1DA9-4A55-A332-6F52D2519B02}">
  <dimension ref="A1:E50"/>
  <sheetViews>
    <sheetView topLeftCell="A4" workbookViewId="0">
      <selection activeCell="E10" sqref="E10"/>
    </sheetView>
  </sheetViews>
  <sheetFormatPr defaultRowHeight="15" x14ac:dyDescent="0.25"/>
  <cols>
    <col min="1" max="1" width="28" style="19" customWidth="1"/>
    <col min="2" max="2" width="46.42578125" style="18" customWidth="1"/>
    <col min="3" max="3" width="18.42578125" style="19" customWidth="1"/>
    <col min="5" max="5" width="57.85546875" customWidth="1"/>
  </cols>
  <sheetData>
    <row r="1" spans="1:5" ht="31.5" x14ac:dyDescent="0.5">
      <c r="A1" s="26" t="s">
        <v>340</v>
      </c>
      <c r="B1" s="26"/>
      <c r="C1" s="26"/>
      <c r="D1" s="26"/>
      <c r="E1" s="26"/>
    </row>
    <row r="2" spans="1:5" ht="15.75" x14ac:dyDescent="0.25">
      <c r="A2" s="20" t="s">
        <v>420</v>
      </c>
      <c r="B2" s="21" t="s">
        <v>413</v>
      </c>
      <c r="C2" s="20" t="s">
        <v>414</v>
      </c>
    </row>
    <row r="3" spans="1:5" ht="45" x14ac:dyDescent="0.25">
      <c r="A3" s="19" t="s">
        <v>416</v>
      </c>
      <c r="B3" s="18" t="s">
        <v>424</v>
      </c>
      <c r="C3" s="19">
        <v>6</v>
      </c>
    </row>
    <row r="4" spans="1:5" ht="30" x14ac:dyDescent="0.25">
      <c r="A4" s="19" t="s">
        <v>417</v>
      </c>
      <c r="B4" s="18" t="s">
        <v>419</v>
      </c>
      <c r="C4" s="19">
        <v>4</v>
      </c>
    </row>
    <row r="5" spans="1:5" ht="30" x14ac:dyDescent="0.25">
      <c r="A5" s="18" t="s">
        <v>422</v>
      </c>
      <c r="B5" s="18" t="s">
        <v>423</v>
      </c>
      <c r="C5" s="19">
        <v>2</v>
      </c>
    </row>
    <row r="6" spans="1:5" ht="45" x14ac:dyDescent="0.25">
      <c r="A6" s="19" t="s">
        <v>418</v>
      </c>
      <c r="B6" s="18" t="s">
        <v>431</v>
      </c>
      <c r="C6" s="19">
        <v>6</v>
      </c>
    </row>
    <row r="7" spans="1:5" x14ac:dyDescent="0.25">
      <c r="A7" s="19" t="s">
        <v>421</v>
      </c>
      <c r="B7" s="18" t="s">
        <v>270</v>
      </c>
      <c r="C7" s="19">
        <v>1</v>
      </c>
    </row>
    <row r="10" spans="1:5" ht="75" x14ac:dyDescent="0.25">
      <c r="E10" s="3" t="s">
        <v>446</v>
      </c>
    </row>
    <row r="11" spans="1:5" ht="30" x14ac:dyDescent="0.25">
      <c r="E11" s="18" t="s">
        <v>448</v>
      </c>
    </row>
    <row r="12" spans="1:5" ht="31.5" x14ac:dyDescent="0.5">
      <c r="A12" s="26" t="s">
        <v>444</v>
      </c>
      <c r="B12" s="26"/>
      <c r="C12" s="26"/>
    </row>
    <row r="13" spans="1:5" ht="15.75" x14ac:dyDescent="0.25">
      <c r="A13" s="20" t="s">
        <v>420</v>
      </c>
      <c r="B13" s="20" t="s">
        <v>413</v>
      </c>
      <c r="C13" s="20" t="s">
        <v>414</v>
      </c>
    </row>
    <row r="14" spans="1:5" x14ac:dyDescent="0.25">
      <c r="A14" s="19" t="s">
        <v>449</v>
      </c>
      <c r="B14" s="18" t="s">
        <v>455</v>
      </c>
      <c r="C14" s="19">
        <v>2</v>
      </c>
    </row>
    <row r="15" spans="1:5" x14ac:dyDescent="0.25">
      <c r="A15" s="19" t="s">
        <v>450</v>
      </c>
      <c r="B15" s="18" t="s">
        <v>451</v>
      </c>
      <c r="C15" s="19">
        <v>2</v>
      </c>
    </row>
    <row r="16" spans="1:5" x14ac:dyDescent="0.25">
      <c r="A16" s="19" t="s">
        <v>452</v>
      </c>
      <c r="B16" s="18" t="s">
        <v>457</v>
      </c>
      <c r="C16" s="19">
        <v>2</v>
      </c>
    </row>
    <row r="17" spans="1:3" x14ac:dyDescent="0.25">
      <c r="A17" s="19" t="s">
        <v>353</v>
      </c>
      <c r="B17" s="18" t="s">
        <v>437</v>
      </c>
      <c r="C17" s="19">
        <v>1</v>
      </c>
    </row>
    <row r="18" spans="1:3" x14ac:dyDescent="0.25">
      <c r="A18" s="19" t="s">
        <v>456</v>
      </c>
      <c r="B18" s="18" t="s">
        <v>440</v>
      </c>
      <c r="C18" s="19">
        <v>1</v>
      </c>
    </row>
    <row r="24" spans="1:3" ht="31.5" x14ac:dyDescent="0.5">
      <c r="A24" s="26" t="s">
        <v>461</v>
      </c>
      <c r="B24" s="26"/>
      <c r="C24" s="26"/>
    </row>
    <row r="25" spans="1:3" ht="15.75" x14ac:dyDescent="0.25">
      <c r="A25" s="20" t="s">
        <v>420</v>
      </c>
      <c r="B25" s="20" t="s">
        <v>413</v>
      </c>
      <c r="C25" s="20" t="s">
        <v>414</v>
      </c>
    </row>
    <row r="26" spans="1:3" ht="30" x14ac:dyDescent="0.25">
      <c r="A26" s="19" t="s">
        <v>462</v>
      </c>
      <c r="B26" s="18" t="s">
        <v>472</v>
      </c>
      <c r="C26" s="19">
        <v>4</v>
      </c>
    </row>
    <row r="27" spans="1:3" x14ac:dyDescent="0.25">
      <c r="A27" s="19" t="s">
        <v>463</v>
      </c>
      <c r="B27" s="18" t="s">
        <v>54</v>
      </c>
      <c r="C27" s="19">
        <v>1</v>
      </c>
    </row>
    <row r="28" spans="1:3" x14ac:dyDescent="0.25">
      <c r="A28" s="19" t="s">
        <v>456</v>
      </c>
      <c r="B28" s="18" t="s">
        <v>54</v>
      </c>
      <c r="C28" s="19">
        <v>1</v>
      </c>
    </row>
    <row r="29" spans="1:3" x14ac:dyDescent="0.25">
      <c r="A29" s="19" t="s">
        <v>454</v>
      </c>
      <c r="B29" s="18" t="s">
        <v>50</v>
      </c>
      <c r="C29" s="19">
        <v>1</v>
      </c>
    </row>
    <row r="30" spans="1:3" x14ac:dyDescent="0.25">
      <c r="A30" s="19" t="s">
        <v>417</v>
      </c>
      <c r="B30" s="18" t="s">
        <v>32</v>
      </c>
      <c r="C30" s="19">
        <v>1</v>
      </c>
    </row>
    <row r="37" spans="1:3" ht="31.5" x14ac:dyDescent="0.5">
      <c r="A37" s="26" t="s">
        <v>495</v>
      </c>
      <c r="B37" s="26"/>
      <c r="C37" s="26"/>
    </row>
    <row r="38" spans="1:3" ht="15.75" x14ac:dyDescent="0.25">
      <c r="A38" s="20" t="s">
        <v>420</v>
      </c>
      <c r="B38" s="20" t="s">
        <v>445</v>
      </c>
      <c r="C38" s="20" t="s">
        <v>414</v>
      </c>
    </row>
    <row r="39" spans="1:3" ht="30" x14ac:dyDescent="0.25">
      <c r="A39" s="19" t="s">
        <v>417</v>
      </c>
      <c r="B39" s="18" t="s">
        <v>502</v>
      </c>
      <c r="C39" s="19">
        <v>3</v>
      </c>
    </row>
    <row r="40" spans="1:3" ht="30" x14ac:dyDescent="0.25">
      <c r="A40" s="19" t="s">
        <v>418</v>
      </c>
      <c r="B40" s="18" t="s">
        <v>500</v>
      </c>
      <c r="C40" s="19">
        <v>4</v>
      </c>
    </row>
    <row r="41" spans="1:3" ht="30" x14ac:dyDescent="0.25">
      <c r="A41" s="19" t="s">
        <v>496</v>
      </c>
      <c r="B41" s="18" t="s">
        <v>501</v>
      </c>
      <c r="C41" s="19">
        <v>3</v>
      </c>
    </row>
    <row r="47" spans="1:3" ht="31.5" x14ac:dyDescent="0.5">
      <c r="A47" s="26" t="s">
        <v>525</v>
      </c>
      <c r="B47" s="26"/>
      <c r="C47" s="26"/>
    </row>
    <row r="48" spans="1:3" ht="15.75" x14ac:dyDescent="0.25">
      <c r="A48" s="20" t="s">
        <v>420</v>
      </c>
      <c r="B48" s="20" t="s">
        <v>445</v>
      </c>
      <c r="C48" s="20" t="s">
        <v>414</v>
      </c>
    </row>
    <row r="49" spans="1:3" ht="30" x14ac:dyDescent="0.25">
      <c r="A49" s="19" t="s">
        <v>462</v>
      </c>
      <c r="B49" s="18" t="s">
        <v>528</v>
      </c>
      <c r="C49" s="19">
        <v>4</v>
      </c>
    </row>
    <row r="50" spans="1:3" x14ac:dyDescent="0.25">
      <c r="A50" s="19" t="s">
        <v>526</v>
      </c>
      <c r="B50" s="18" t="s">
        <v>507</v>
      </c>
      <c r="C50" s="19">
        <v>1</v>
      </c>
    </row>
  </sheetData>
  <mergeCells count="5">
    <mergeCell ref="A1:E1"/>
    <mergeCell ref="A12:C12"/>
    <mergeCell ref="A24:C24"/>
    <mergeCell ref="A37:C37"/>
    <mergeCell ref="A47:C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1A62-AE76-4873-9E60-1EB205715371}">
  <dimension ref="A1:B55"/>
  <sheetViews>
    <sheetView topLeftCell="A35" zoomScale="120" zoomScaleNormal="120" workbookViewId="0">
      <selection activeCell="A51" sqref="A51"/>
    </sheetView>
  </sheetViews>
  <sheetFormatPr defaultRowHeight="15" x14ac:dyDescent="0.25"/>
  <cols>
    <col min="1" max="1" width="81.140625" bestFit="1" customWidth="1"/>
    <col min="2" max="2" width="17.7109375" bestFit="1" customWidth="1"/>
  </cols>
  <sheetData>
    <row r="1" spans="1:2" ht="21" x14ac:dyDescent="0.35">
      <c r="A1" s="17" t="s">
        <v>335</v>
      </c>
      <c r="B1" s="17" t="s">
        <v>336</v>
      </c>
    </row>
    <row r="2" spans="1:2" x14ac:dyDescent="0.25">
      <c r="A2" t="s">
        <v>17</v>
      </c>
      <c r="B2">
        <v>18</v>
      </c>
    </row>
    <row r="3" spans="1:2" x14ac:dyDescent="0.25">
      <c r="A3" s="3" t="s">
        <v>233</v>
      </c>
      <c r="B3">
        <v>2</v>
      </c>
    </row>
    <row r="4" spans="1:2" x14ac:dyDescent="0.25">
      <c r="A4" s="3" t="s">
        <v>326</v>
      </c>
      <c r="B4">
        <v>3</v>
      </c>
    </row>
    <row r="5" spans="1:2" x14ac:dyDescent="0.25">
      <c r="A5" t="s">
        <v>322</v>
      </c>
      <c r="B5">
        <v>3</v>
      </c>
    </row>
    <row r="6" spans="1:2" x14ac:dyDescent="0.25">
      <c r="A6" s="3" t="s">
        <v>330</v>
      </c>
      <c r="B6">
        <v>3</v>
      </c>
    </row>
    <row r="7" spans="1:2" x14ac:dyDescent="0.25">
      <c r="A7" s="3" t="s">
        <v>188</v>
      </c>
      <c r="B7">
        <v>2</v>
      </c>
    </row>
    <row r="8" spans="1:2" x14ac:dyDescent="0.25">
      <c r="A8" s="3" t="s">
        <v>167</v>
      </c>
      <c r="B8">
        <v>1</v>
      </c>
    </row>
    <row r="9" spans="1:2" x14ac:dyDescent="0.25">
      <c r="A9" s="3" t="s">
        <v>76</v>
      </c>
      <c r="B9">
        <v>1</v>
      </c>
    </row>
    <row r="10" spans="1:2" x14ac:dyDescent="0.25">
      <c r="A10" s="3" t="s">
        <v>86</v>
      </c>
      <c r="B10">
        <v>1</v>
      </c>
    </row>
    <row r="11" spans="1:2" x14ac:dyDescent="0.25">
      <c r="A11" s="3" t="s">
        <v>183</v>
      </c>
      <c r="B11">
        <v>1</v>
      </c>
    </row>
    <row r="12" spans="1:2" x14ac:dyDescent="0.25">
      <c r="A12" t="s">
        <v>323</v>
      </c>
      <c r="B12">
        <v>1</v>
      </c>
    </row>
    <row r="13" spans="1:2" x14ac:dyDescent="0.25">
      <c r="A13" s="3" t="s">
        <v>324</v>
      </c>
      <c r="B13">
        <v>1</v>
      </c>
    </row>
    <row r="14" spans="1:2" x14ac:dyDescent="0.25">
      <c r="A14" t="s">
        <v>317</v>
      </c>
      <c r="B14">
        <v>1</v>
      </c>
    </row>
    <row r="15" spans="1:2" x14ac:dyDescent="0.25">
      <c r="A15" t="s">
        <v>102</v>
      </c>
      <c r="B15">
        <v>1</v>
      </c>
    </row>
    <row r="16" spans="1:2" x14ac:dyDescent="0.25">
      <c r="A16" s="3" t="s">
        <v>156</v>
      </c>
      <c r="B16">
        <v>1</v>
      </c>
    </row>
    <row r="17" spans="1:2" x14ac:dyDescent="0.25">
      <c r="A17" t="s">
        <v>6</v>
      </c>
      <c r="B17">
        <v>4</v>
      </c>
    </row>
    <row r="18" spans="1:2" x14ac:dyDescent="0.25">
      <c r="A18" s="3" t="s">
        <v>201</v>
      </c>
      <c r="B18">
        <v>1</v>
      </c>
    </row>
    <row r="19" spans="1:2" x14ac:dyDescent="0.25">
      <c r="A19" s="3" t="s">
        <v>123</v>
      </c>
      <c r="B19">
        <v>1</v>
      </c>
    </row>
    <row r="20" spans="1:2" x14ac:dyDescent="0.25">
      <c r="A20" s="3" t="s">
        <v>249</v>
      </c>
      <c r="B20">
        <v>1</v>
      </c>
    </row>
    <row r="21" spans="1:2" x14ac:dyDescent="0.25">
      <c r="A21" t="s">
        <v>331</v>
      </c>
      <c r="B21">
        <v>1</v>
      </c>
    </row>
    <row r="22" spans="1:2" x14ac:dyDescent="0.25">
      <c r="A22" s="3" t="s">
        <v>133</v>
      </c>
      <c r="B22">
        <v>1</v>
      </c>
    </row>
    <row r="23" spans="1:2" x14ac:dyDescent="0.25">
      <c r="A23" t="s">
        <v>333</v>
      </c>
      <c r="B23">
        <v>1</v>
      </c>
    </row>
    <row r="24" spans="1:2" x14ac:dyDescent="0.25">
      <c r="A24" s="3" t="s">
        <v>160</v>
      </c>
      <c r="B24">
        <v>1</v>
      </c>
    </row>
    <row r="25" spans="1:2" x14ac:dyDescent="0.25">
      <c r="A25" s="3" t="s">
        <v>193</v>
      </c>
      <c r="B25">
        <v>1</v>
      </c>
    </row>
    <row r="26" spans="1:2" x14ac:dyDescent="0.25">
      <c r="A26" t="s">
        <v>334</v>
      </c>
      <c r="B26">
        <v>1</v>
      </c>
    </row>
    <row r="27" spans="1:2" x14ac:dyDescent="0.25">
      <c r="A27" s="3" t="s">
        <v>88</v>
      </c>
      <c r="B27">
        <v>1</v>
      </c>
    </row>
    <row r="28" spans="1:2" x14ac:dyDescent="0.25">
      <c r="A28" s="3" t="s">
        <v>28</v>
      </c>
      <c r="B28">
        <v>1</v>
      </c>
    </row>
    <row r="29" spans="1:2" x14ac:dyDescent="0.25">
      <c r="A29" s="3" t="s">
        <v>433</v>
      </c>
      <c r="B29">
        <v>1</v>
      </c>
    </row>
    <row r="30" spans="1:2" x14ac:dyDescent="0.25">
      <c r="A30" s="3" t="s">
        <v>258</v>
      </c>
      <c r="B30">
        <v>1</v>
      </c>
    </row>
    <row r="31" spans="1:2" x14ac:dyDescent="0.25">
      <c r="A31" s="3" t="s">
        <v>21</v>
      </c>
      <c r="B31">
        <v>1</v>
      </c>
    </row>
    <row r="32" spans="1:2" x14ac:dyDescent="0.25">
      <c r="A32" s="3" t="s">
        <v>67</v>
      </c>
      <c r="B32">
        <v>1</v>
      </c>
    </row>
    <row r="33" spans="1:2" x14ac:dyDescent="0.25">
      <c r="A33" t="s">
        <v>328</v>
      </c>
      <c r="B33">
        <v>1</v>
      </c>
    </row>
    <row r="34" spans="1:2" x14ac:dyDescent="0.25">
      <c r="A34" t="s">
        <v>325</v>
      </c>
      <c r="B34">
        <v>1</v>
      </c>
    </row>
    <row r="35" spans="1:2" x14ac:dyDescent="0.25">
      <c r="A35" s="3" t="s">
        <v>141</v>
      </c>
      <c r="B35">
        <v>1</v>
      </c>
    </row>
    <row r="36" spans="1:2" x14ac:dyDescent="0.25">
      <c r="A36" s="3" t="s">
        <v>94</v>
      </c>
      <c r="B36">
        <v>1</v>
      </c>
    </row>
    <row r="37" spans="1:2" x14ac:dyDescent="0.25">
      <c r="A37" t="s">
        <v>329</v>
      </c>
      <c r="B37">
        <v>1</v>
      </c>
    </row>
    <row r="38" spans="1:2" x14ac:dyDescent="0.25">
      <c r="A38" s="3" t="s">
        <v>114</v>
      </c>
      <c r="B38">
        <v>1</v>
      </c>
    </row>
    <row r="39" spans="1:2" x14ac:dyDescent="0.25">
      <c r="A39" s="3" t="s">
        <v>245</v>
      </c>
      <c r="B39">
        <v>1</v>
      </c>
    </row>
    <row r="40" spans="1:2" x14ac:dyDescent="0.25">
      <c r="A40" t="s">
        <v>321</v>
      </c>
      <c r="B40">
        <v>1</v>
      </c>
    </row>
    <row r="41" spans="1:2" x14ac:dyDescent="0.25">
      <c r="A41" t="s">
        <v>62</v>
      </c>
      <c r="B41">
        <v>1</v>
      </c>
    </row>
    <row r="42" spans="1:2" x14ac:dyDescent="0.25">
      <c r="A42" s="3" t="s">
        <v>172</v>
      </c>
      <c r="B42">
        <v>1</v>
      </c>
    </row>
    <row r="43" spans="1:2" x14ac:dyDescent="0.25">
      <c r="A43" s="3" t="s">
        <v>73</v>
      </c>
      <c r="B43">
        <v>1</v>
      </c>
    </row>
    <row r="44" spans="1:2" x14ac:dyDescent="0.25">
      <c r="A44" s="3" t="s">
        <v>16</v>
      </c>
      <c r="B44">
        <v>1</v>
      </c>
    </row>
    <row r="45" spans="1:2" x14ac:dyDescent="0.25">
      <c r="A45" s="3" t="s">
        <v>327</v>
      </c>
      <c r="B45">
        <v>1</v>
      </c>
    </row>
    <row r="46" spans="1:2" x14ac:dyDescent="0.25">
      <c r="A46" s="3" t="s">
        <v>26</v>
      </c>
      <c r="B46">
        <v>1</v>
      </c>
    </row>
    <row r="47" spans="1:2" x14ac:dyDescent="0.25">
      <c r="A47" s="3" t="s">
        <v>40</v>
      </c>
      <c r="B47">
        <v>1</v>
      </c>
    </row>
    <row r="48" spans="1:2" x14ac:dyDescent="0.25">
      <c r="A48" s="3" t="s">
        <v>205</v>
      </c>
      <c r="B48">
        <v>1</v>
      </c>
    </row>
    <row r="49" spans="1:2" x14ac:dyDescent="0.25">
      <c r="A49" s="3" t="s">
        <v>178</v>
      </c>
      <c r="B49">
        <v>1</v>
      </c>
    </row>
    <row r="50" spans="1:2" x14ac:dyDescent="0.25">
      <c r="A50" s="3" t="s">
        <v>253</v>
      </c>
      <c r="B50">
        <v>1</v>
      </c>
    </row>
    <row r="51" spans="1:2" x14ac:dyDescent="0.25">
      <c r="A51" s="3" t="s">
        <v>152</v>
      </c>
      <c r="B51">
        <v>1</v>
      </c>
    </row>
    <row r="52" spans="1:2" x14ac:dyDescent="0.25">
      <c r="A52" t="s">
        <v>332</v>
      </c>
      <c r="B52">
        <v>1</v>
      </c>
    </row>
    <row r="53" spans="1:2" x14ac:dyDescent="0.25">
      <c r="A53" t="s">
        <v>111</v>
      </c>
      <c r="B53">
        <v>1</v>
      </c>
    </row>
    <row r="54" spans="1:2" x14ac:dyDescent="0.25">
      <c r="A54" s="3" t="s">
        <v>477</v>
      </c>
      <c r="B54">
        <v>5</v>
      </c>
    </row>
    <row r="55" spans="1:2" x14ac:dyDescent="0.25">
      <c r="A55" s="3" t="s">
        <v>530</v>
      </c>
      <c r="B55">
        <v>3</v>
      </c>
    </row>
  </sheetData>
  <sortState xmlns:xlrd2="http://schemas.microsoft.com/office/spreadsheetml/2017/richdata2" ref="A2:B53">
    <sortCondition descending="1" ref="B2:B53"/>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AA55-FEF5-48FC-93AE-7CCA3C7F9279}">
  <dimension ref="A1:E38"/>
  <sheetViews>
    <sheetView topLeftCell="A20" workbookViewId="0">
      <selection activeCell="D8" sqref="D8"/>
    </sheetView>
  </sheetViews>
  <sheetFormatPr defaultRowHeight="15" x14ac:dyDescent="0.25"/>
  <cols>
    <col min="1" max="1" width="52.85546875" bestFit="1" customWidth="1"/>
    <col min="2" max="2" width="26.7109375" bestFit="1" customWidth="1"/>
    <col min="3" max="3" width="39.7109375" customWidth="1"/>
    <col min="4" max="4" width="29.85546875" bestFit="1" customWidth="1"/>
    <col min="5" max="5" width="41.42578125" customWidth="1"/>
  </cols>
  <sheetData>
    <row r="1" spans="1:5" s="17" customFormat="1" ht="21" x14ac:dyDescent="0.35">
      <c r="A1" s="17" t="s">
        <v>335</v>
      </c>
      <c r="B1" s="17" t="s">
        <v>337</v>
      </c>
      <c r="C1" s="17" t="s">
        <v>338</v>
      </c>
      <c r="D1" s="17" t="s">
        <v>339</v>
      </c>
      <c r="E1" s="17" t="s">
        <v>338</v>
      </c>
    </row>
    <row r="2" spans="1:5" ht="60" x14ac:dyDescent="0.25">
      <c r="A2" s="24" t="s">
        <v>340</v>
      </c>
      <c r="B2" t="s">
        <v>341</v>
      </c>
      <c r="C2" s="3" t="s">
        <v>342</v>
      </c>
      <c r="D2" t="s">
        <v>343</v>
      </c>
      <c r="E2" s="3" t="s">
        <v>344</v>
      </c>
    </row>
    <row r="3" spans="1:5" x14ac:dyDescent="0.25">
      <c r="A3" s="24"/>
    </row>
    <row r="4" spans="1:5" ht="45" x14ac:dyDescent="0.25">
      <c r="A4" s="24"/>
      <c r="B4" t="s">
        <v>345</v>
      </c>
      <c r="C4" s="3" t="s">
        <v>346</v>
      </c>
      <c r="D4" t="s">
        <v>347</v>
      </c>
      <c r="E4" s="3" t="s">
        <v>348</v>
      </c>
    </row>
    <row r="5" spans="1:5" x14ac:dyDescent="0.25">
      <c r="A5" s="24"/>
    </row>
    <row r="6" spans="1:5" ht="45" x14ac:dyDescent="0.25">
      <c r="A6" s="24"/>
      <c r="B6" t="s">
        <v>353</v>
      </c>
      <c r="C6" s="3" t="s">
        <v>349</v>
      </c>
      <c r="D6" t="s">
        <v>356</v>
      </c>
      <c r="E6" s="3" t="s">
        <v>351</v>
      </c>
    </row>
    <row r="7" spans="1:5" x14ac:dyDescent="0.25">
      <c r="A7" s="24"/>
    </row>
    <row r="8" spans="1:5" ht="45" x14ac:dyDescent="0.25">
      <c r="A8" s="24"/>
      <c r="B8" t="s">
        <v>354</v>
      </c>
      <c r="C8" s="3" t="s">
        <v>350</v>
      </c>
      <c r="D8" t="s">
        <v>355</v>
      </c>
      <c r="E8" s="3" t="s">
        <v>352</v>
      </c>
    </row>
    <row r="11" spans="1:5" ht="60" x14ac:dyDescent="0.25">
      <c r="A11" s="24" t="s">
        <v>233</v>
      </c>
      <c r="B11" t="s">
        <v>357</v>
      </c>
      <c r="C11" s="3" t="s">
        <v>358</v>
      </c>
      <c r="D11" t="s">
        <v>365</v>
      </c>
      <c r="E11" s="3" t="s">
        <v>366</v>
      </c>
    </row>
    <row r="12" spans="1:5" x14ac:dyDescent="0.25">
      <c r="A12" s="24"/>
    </row>
    <row r="13" spans="1:5" ht="45" x14ac:dyDescent="0.25">
      <c r="A13" s="24"/>
      <c r="B13" t="s">
        <v>359</v>
      </c>
      <c r="C13" s="3" t="s">
        <v>360</v>
      </c>
      <c r="D13" t="s">
        <v>367</v>
      </c>
      <c r="E13" s="3" t="s">
        <v>368</v>
      </c>
    </row>
    <row r="14" spans="1:5" x14ac:dyDescent="0.25">
      <c r="A14" s="24"/>
    </row>
    <row r="15" spans="1:5" ht="45" x14ac:dyDescent="0.25">
      <c r="A15" s="24"/>
      <c r="B15" t="s">
        <v>361</v>
      </c>
      <c r="C15" s="3" t="s">
        <v>362</v>
      </c>
      <c r="D15" t="s">
        <v>369</v>
      </c>
      <c r="E15" s="3" t="s">
        <v>370</v>
      </c>
    </row>
    <row r="16" spans="1:5" x14ac:dyDescent="0.25">
      <c r="A16" s="24"/>
    </row>
    <row r="17" spans="1:5" ht="90" x14ac:dyDescent="0.25">
      <c r="A17" s="24"/>
      <c r="B17" t="s">
        <v>363</v>
      </c>
      <c r="C17" s="3" t="s">
        <v>364</v>
      </c>
      <c r="D17" t="s">
        <v>371</v>
      </c>
      <c r="E17" s="3" t="s">
        <v>372</v>
      </c>
    </row>
    <row r="20" spans="1:5" ht="60" x14ac:dyDescent="0.25">
      <c r="A20" s="24" t="s">
        <v>399</v>
      </c>
      <c r="B20" t="s">
        <v>374</v>
      </c>
      <c r="C20" s="3" t="s">
        <v>373</v>
      </c>
      <c r="D20" t="s">
        <v>379</v>
      </c>
      <c r="E20" s="3" t="s">
        <v>380</v>
      </c>
    </row>
    <row r="21" spans="1:5" x14ac:dyDescent="0.25">
      <c r="A21" s="24"/>
    </row>
    <row r="22" spans="1:5" ht="60" x14ac:dyDescent="0.25">
      <c r="A22" s="24"/>
      <c r="B22" t="s">
        <v>375</v>
      </c>
      <c r="C22" s="3" t="s">
        <v>376</v>
      </c>
      <c r="D22" t="s">
        <v>381</v>
      </c>
      <c r="E22" s="3" t="s">
        <v>382</v>
      </c>
    </row>
    <row r="23" spans="1:5" x14ac:dyDescent="0.25">
      <c r="A23" s="24"/>
    </row>
    <row r="24" spans="1:5" ht="75" x14ac:dyDescent="0.25">
      <c r="A24" s="24"/>
      <c r="B24" t="s">
        <v>377</v>
      </c>
      <c r="C24" s="3" t="s">
        <v>378</v>
      </c>
      <c r="D24" t="s">
        <v>383</v>
      </c>
      <c r="E24" s="3" t="s">
        <v>384</v>
      </c>
    </row>
    <row r="27" spans="1:5" ht="45" x14ac:dyDescent="0.25">
      <c r="A27" s="24" t="s">
        <v>400</v>
      </c>
      <c r="B27" t="s">
        <v>375</v>
      </c>
      <c r="C27" s="3" t="s">
        <v>385</v>
      </c>
      <c r="D27" t="s">
        <v>391</v>
      </c>
      <c r="E27" s="3" t="s">
        <v>392</v>
      </c>
    </row>
    <row r="28" spans="1:5" x14ac:dyDescent="0.25">
      <c r="A28" s="24"/>
    </row>
    <row r="29" spans="1:5" ht="45" x14ac:dyDescent="0.25">
      <c r="A29" s="24"/>
      <c r="B29" t="s">
        <v>357</v>
      </c>
      <c r="C29" s="3" t="s">
        <v>386</v>
      </c>
      <c r="D29" t="s">
        <v>393</v>
      </c>
      <c r="E29" s="3" t="s">
        <v>394</v>
      </c>
    </row>
    <row r="30" spans="1:5" x14ac:dyDescent="0.25">
      <c r="A30" s="24"/>
    </row>
    <row r="31" spans="1:5" ht="45" x14ac:dyDescent="0.25">
      <c r="A31" s="24"/>
      <c r="B31" t="s">
        <v>387</v>
      </c>
      <c r="C31" s="3" t="s">
        <v>388</v>
      </c>
      <c r="D31" t="s">
        <v>395</v>
      </c>
      <c r="E31" s="3" t="s">
        <v>396</v>
      </c>
    </row>
    <row r="32" spans="1:5" x14ac:dyDescent="0.25">
      <c r="A32" s="24"/>
    </row>
    <row r="33" spans="1:5" ht="60" x14ac:dyDescent="0.25">
      <c r="A33" s="24"/>
      <c r="B33" t="s">
        <v>389</v>
      </c>
      <c r="C33" s="3" t="s">
        <v>390</v>
      </c>
      <c r="D33" t="s">
        <v>397</v>
      </c>
      <c r="E33" s="3" t="s">
        <v>398</v>
      </c>
    </row>
    <row r="36" spans="1:5" ht="150" x14ac:dyDescent="0.25">
      <c r="A36" s="24" t="s">
        <v>401</v>
      </c>
      <c r="B36" t="s">
        <v>403</v>
      </c>
      <c r="C36" s="3" t="s">
        <v>402</v>
      </c>
      <c r="D36" t="s">
        <v>406</v>
      </c>
      <c r="E36" s="3" t="s">
        <v>407</v>
      </c>
    </row>
    <row r="37" spans="1:5" x14ac:dyDescent="0.25">
      <c r="A37" s="24"/>
    </row>
    <row r="38" spans="1:5" ht="150" x14ac:dyDescent="0.25">
      <c r="A38" s="24"/>
      <c r="B38" t="s">
        <v>404</v>
      </c>
      <c r="C38" s="3" t="s">
        <v>405</v>
      </c>
      <c r="D38" t="s">
        <v>408</v>
      </c>
      <c r="E38" s="3" t="s">
        <v>409</v>
      </c>
    </row>
  </sheetData>
  <mergeCells count="5">
    <mergeCell ref="A2:A8"/>
    <mergeCell ref="A11:A17"/>
    <mergeCell ref="A20:A24"/>
    <mergeCell ref="A27:A33"/>
    <mergeCell ref="A36:A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5361-99E2-4D9D-9463-E103338336CD}">
  <sheetPr codeName="Sheet4"/>
  <dimension ref="A1:E39"/>
  <sheetViews>
    <sheetView topLeftCell="B1" zoomScaleNormal="100" workbookViewId="0">
      <selection activeCell="D10" sqref="D10"/>
    </sheetView>
  </sheetViews>
  <sheetFormatPr defaultRowHeight="15" x14ac:dyDescent="0.25"/>
  <cols>
    <col min="1" max="1" width="15" bestFit="1" customWidth="1"/>
    <col min="2" max="2" width="15.42578125" bestFit="1" customWidth="1"/>
    <col min="3" max="3" width="25.7109375" bestFit="1" customWidth="1"/>
    <col min="4" max="4" width="16.85546875" bestFit="1" customWidth="1"/>
    <col min="5" max="5" width="15.42578125" bestFit="1" customWidth="1"/>
  </cols>
  <sheetData>
    <row r="1" spans="1:5" s="1" customFormat="1" x14ac:dyDescent="0.25">
      <c r="A1" s="1" t="s">
        <v>7</v>
      </c>
      <c r="B1" s="1" t="s">
        <v>8</v>
      </c>
      <c r="C1" s="1" t="s">
        <v>9</v>
      </c>
      <c r="D1" s="1" t="s">
        <v>10</v>
      </c>
      <c r="E1" s="1" t="s">
        <v>11</v>
      </c>
    </row>
    <row r="2" spans="1:5" x14ac:dyDescent="0.25">
      <c r="A2" t="s">
        <v>12</v>
      </c>
      <c r="B2" s="2">
        <f>SUM(B33:B34)</f>
        <v>5348</v>
      </c>
      <c r="C2" s="2">
        <f t="shared" ref="C2:E2" si="0">SUM(C33:C34)</f>
        <v>404</v>
      </c>
      <c r="D2" s="2">
        <f t="shared" si="0"/>
        <v>151</v>
      </c>
      <c r="E2" s="2">
        <f t="shared" si="0"/>
        <v>31</v>
      </c>
    </row>
    <row r="3" spans="1:5" x14ac:dyDescent="0.25">
      <c r="A3" t="s">
        <v>13</v>
      </c>
      <c r="B3">
        <f>SUM(B36,B37)</f>
        <v>837</v>
      </c>
      <c r="C3">
        <f>C36+C37</f>
        <v>161</v>
      </c>
      <c r="D3">
        <f>SUM(D36,D37)</f>
        <v>44</v>
      </c>
      <c r="E3">
        <f>SUM(E36,E37)</f>
        <v>36</v>
      </c>
    </row>
    <row r="4" spans="1:5" x14ac:dyDescent="0.25">
      <c r="A4" t="str">
        <f>A39</f>
        <v>Springer Link</v>
      </c>
      <c r="B4">
        <f>B39</f>
        <v>767</v>
      </c>
      <c r="C4">
        <f>C39</f>
        <v>142</v>
      </c>
      <c r="D4">
        <f>D39</f>
        <v>84</v>
      </c>
      <c r="E4">
        <f>E39</f>
        <v>5</v>
      </c>
    </row>
    <row r="7" spans="1:5" x14ac:dyDescent="0.25">
      <c r="A7" t="s">
        <v>14</v>
      </c>
      <c r="B7" s="2">
        <f>SUM(B2,B3,B4)</f>
        <v>6952</v>
      </c>
      <c r="C7" s="2">
        <f>SUM(C2,C3,C4)</f>
        <v>707</v>
      </c>
      <c r="D7" s="2">
        <f>SUM(D2,D3,D4)</f>
        <v>279</v>
      </c>
      <c r="E7" s="2">
        <f>SUM(E2,E3,E4)</f>
        <v>72</v>
      </c>
    </row>
    <row r="19" spans="1:5" x14ac:dyDescent="0.25">
      <c r="A19" s="1"/>
      <c r="B19" s="1"/>
      <c r="C19" s="1"/>
      <c r="D19" s="1"/>
      <c r="E19" s="1"/>
    </row>
    <row r="33" spans="1:5" x14ac:dyDescent="0.25">
      <c r="A33" t="s">
        <v>12</v>
      </c>
      <c r="B33" s="2">
        <v>4549</v>
      </c>
      <c r="C33">
        <v>303</v>
      </c>
      <c r="D33">
        <v>110</v>
      </c>
      <c r="E33">
        <v>17</v>
      </c>
    </row>
    <row r="34" spans="1:5" x14ac:dyDescent="0.25">
      <c r="B34">
        <v>799</v>
      </c>
      <c r="C34">
        <v>101</v>
      </c>
      <c r="D34">
        <v>41</v>
      </c>
      <c r="E34">
        <v>14</v>
      </c>
    </row>
    <row r="36" spans="1:5" x14ac:dyDescent="0.25">
      <c r="A36" t="s">
        <v>13</v>
      </c>
      <c r="B36">
        <v>441</v>
      </c>
      <c r="C36">
        <v>90</v>
      </c>
      <c r="D36">
        <v>14</v>
      </c>
      <c r="E36">
        <v>11</v>
      </c>
    </row>
    <row r="37" spans="1:5" x14ac:dyDescent="0.25">
      <c r="B37">
        <v>396</v>
      </c>
      <c r="C37">
        <v>71</v>
      </c>
      <c r="D37">
        <v>30</v>
      </c>
      <c r="E37">
        <v>25</v>
      </c>
    </row>
    <row r="39" spans="1:5" x14ac:dyDescent="0.25">
      <c r="A39" t="s">
        <v>15</v>
      </c>
      <c r="B39">
        <v>767</v>
      </c>
      <c r="C39">
        <v>142</v>
      </c>
      <c r="D39">
        <v>84</v>
      </c>
      <c r="E39">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2951-F62E-4F4C-8FB7-E38C0CB30E0E}">
  <sheetPr codeName="Sheet5"/>
  <dimension ref="A1:B10"/>
  <sheetViews>
    <sheetView tabSelected="1" workbookViewId="0">
      <selection activeCell="B18" sqref="B18"/>
    </sheetView>
  </sheetViews>
  <sheetFormatPr defaultRowHeight="15" x14ac:dyDescent="0.25"/>
  <cols>
    <col min="1" max="1" width="33.42578125" customWidth="1"/>
    <col min="2" max="2" width="53.5703125" customWidth="1"/>
  </cols>
  <sheetData>
    <row r="1" spans="1:2" ht="30" x14ac:dyDescent="0.25">
      <c r="A1" t="s">
        <v>308</v>
      </c>
      <c r="B1" s="3" t="s">
        <v>410</v>
      </c>
    </row>
    <row r="4" spans="1:2" ht="60" x14ac:dyDescent="0.25">
      <c r="A4" s="3" t="s">
        <v>309</v>
      </c>
      <c r="B4" s="3" t="s">
        <v>310</v>
      </c>
    </row>
    <row r="7" spans="1:2" ht="30" x14ac:dyDescent="0.25">
      <c r="A7" s="3" t="s">
        <v>312</v>
      </c>
      <c r="B7" s="3" t="s">
        <v>311</v>
      </c>
    </row>
    <row r="10" spans="1:2" ht="45" x14ac:dyDescent="0.25">
      <c r="A10" s="3" t="s">
        <v>313</v>
      </c>
      <c r="B10" s="3" t="s">
        <v>314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A79401FCA20B48BC2D5BC3B4486ECB" ma:contentTypeVersion="4" ma:contentTypeDescription="Create a new document." ma:contentTypeScope="" ma:versionID="198701a07fc981e9fe2ff6ef1fc2a2bc">
  <xsd:schema xmlns:xsd="http://www.w3.org/2001/XMLSchema" xmlns:xs="http://www.w3.org/2001/XMLSchema" xmlns:p="http://schemas.microsoft.com/office/2006/metadata/properties" xmlns:ns3="919c896f-2556-40fa-a2e5-a327a5cfdc9b" targetNamespace="http://schemas.microsoft.com/office/2006/metadata/properties" ma:root="true" ma:fieldsID="571c156425ea0e1053f33f0029594411" ns3:_="">
    <xsd:import namespace="919c896f-2556-40fa-a2e5-a327a5cfdc9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9c896f-2556-40fa-a2e5-a327a5cfdc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144A13-66CB-470F-93FD-A496BA96BDB9}">
  <ds:schemaRef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919c896f-2556-40fa-a2e5-a327a5cfdc9b"/>
    <ds:schemaRef ds:uri="http://purl.org/dc/terms/"/>
  </ds:schemaRefs>
</ds:datastoreItem>
</file>

<file path=customXml/itemProps2.xml><?xml version="1.0" encoding="utf-8"?>
<ds:datastoreItem xmlns:ds="http://schemas.openxmlformats.org/officeDocument/2006/customXml" ds:itemID="{C29A6176-7C3C-4AB4-B27F-C490FCF173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9c896f-2556-40fa-a2e5-a327a5cfdc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B5DA4F-964B-4E96-8D2F-235E005001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Research </vt:lpstr>
      <vt:lpstr>Strengths Data</vt:lpstr>
      <vt:lpstr>Weakness Data</vt:lpstr>
      <vt:lpstr>Final Silhouette Techniques</vt:lpstr>
      <vt:lpstr>Strengths and Weakness</vt:lpstr>
      <vt:lpstr>Search Parameters</vt:lpstr>
      <vt:lpstr>Research Objectives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ASAMOAH, JAKE SOMPA</dc:creator>
  <cp:lastModifiedBy>AMARTEY, DILLION</cp:lastModifiedBy>
  <dcterms:created xsi:type="dcterms:W3CDTF">2024-05-13T12:30:13Z</dcterms:created>
  <dcterms:modified xsi:type="dcterms:W3CDTF">2024-12-06T20:04:51Z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0x01010069A79401FCA20B48BC2D5BC3B4486ECB</vt:lpwstr>
  </property>
</Properties>
</file>